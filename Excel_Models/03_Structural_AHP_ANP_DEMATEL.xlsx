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udy\term6\DM\Git\"/>
    </mc:Choice>
  </mc:AlternateContent>
  <xr:revisionPtr revIDLastSave="0" documentId="13_ncr:1_{BDD3E025-15FF-48E5-8CFC-352F4606A54A}" xr6:coauthVersionLast="47" xr6:coauthVersionMax="47" xr10:uidLastSave="{00000000-0000-0000-0000-000000000000}"/>
  <bookViews>
    <workbookView xWindow="-108" yWindow="-108" windowWidth="23256" windowHeight="12456" xr2:uid="{6DB3B2C7-D500-402A-A865-DC39376DC2FB}"/>
  </bookViews>
  <sheets>
    <sheet name="AHP" sheetId="1" r:id="rId1"/>
    <sheet name="ANP" sheetId="2" r:id="rId2"/>
    <sheet name="DEMATEL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0" i="3" l="1"/>
  <c r="L90" i="3"/>
  <c r="M90" i="3"/>
  <c r="N90" i="3"/>
  <c r="O90" i="3"/>
  <c r="P90" i="3"/>
  <c r="K91" i="3"/>
  <c r="L91" i="3"/>
  <c r="M91" i="3"/>
  <c r="N91" i="3"/>
  <c r="O91" i="3"/>
  <c r="P91" i="3"/>
  <c r="K92" i="3"/>
  <c r="L92" i="3"/>
  <c r="M92" i="3"/>
  <c r="N92" i="3"/>
  <c r="O92" i="3"/>
  <c r="P92" i="3"/>
  <c r="K93" i="3"/>
  <c r="L93" i="3"/>
  <c r="M93" i="3"/>
  <c r="N93" i="3"/>
  <c r="O93" i="3"/>
  <c r="P93" i="3"/>
  <c r="K94" i="3"/>
  <c r="L94" i="3"/>
  <c r="M94" i="3"/>
  <c r="N94" i="3"/>
  <c r="O94" i="3"/>
  <c r="P94" i="3"/>
  <c r="L89" i="3"/>
  <c r="M89" i="3"/>
  <c r="N89" i="3"/>
  <c r="O89" i="3"/>
  <c r="P89" i="3"/>
  <c r="K89" i="3"/>
  <c r="D21" i="2"/>
  <c r="W26" i="2"/>
  <c r="W27" i="2"/>
  <c r="W25" i="2"/>
  <c r="P26" i="2"/>
  <c r="F12" i="2" s="1"/>
  <c r="Q56" i="2" s="1"/>
  <c r="AE56" i="2" s="1"/>
  <c r="P27" i="2"/>
  <c r="F13" i="2" s="1"/>
  <c r="Q57" i="2" s="1"/>
  <c r="AE57" i="2" s="1"/>
  <c r="AF52" i="2"/>
  <c r="AH55" i="2"/>
  <c r="AI55" i="2"/>
  <c r="AG56" i="2"/>
  <c r="AI56" i="2"/>
  <c r="AI57" i="2"/>
  <c r="O51" i="2"/>
  <c r="AC51" i="2" s="1"/>
  <c r="P51" i="2"/>
  <c r="AD51" i="2" s="1"/>
  <c r="Q51" i="2"/>
  <c r="AE51" i="2" s="1"/>
  <c r="R51" i="2"/>
  <c r="AF51" i="2" s="1"/>
  <c r="O52" i="2"/>
  <c r="AC52" i="2" s="1"/>
  <c r="P52" i="2"/>
  <c r="AD52" i="2" s="1"/>
  <c r="Q52" i="2"/>
  <c r="AE52" i="2" s="1"/>
  <c r="R52" i="2"/>
  <c r="O53" i="2"/>
  <c r="AC53" i="2" s="1"/>
  <c r="P53" i="2"/>
  <c r="AD53" i="2" s="1"/>
  <c r="Q53" i="2"/>
  <c r="AE53" i="2" s="1"/>
  <c r="R53" i="2"/>
  <c r="AF53" i="2" s="1"/>
  <c r="O54" i="2"/>
  <c r="AC54" i="2" s="1"/>
  <c r="P54" i="2"/>
  <c r="AD54" i="2" s="1"/>
  <c r="Q54" i="2"/>
  <c r="AE54" i="2" s="1"/>
  <c r="R54" i="2"/>
  <c r="AF54" i="2" s="1"/>
  <c r="S55" i="2"/>
  <c r="T55" i="2"/>
  <c r="AG55" i="2" s="1"/>
  <c r="U55" i="2"/>
  <c r="S56" i="2"/>
  <c r="T56" i="2"/>
  <c r="U56" i="2"/>
  <c r="AH56" i="2" s="1"/>
  <c r="S57" i="2"/>
  <c r="T57" i="2"/>
  <c r="AG57" i="2" s="1"/>
  <c r="U57" i="2"/>
  <c r="AH57" i="2" s="1"/>
  <c r="X22" i="2"/>
  <c r="X21" i="2"/>
  <c r="W21" i="2"/>
  <c r="Q22" i="2"/>
  <c r="Q21" i="2"/>
  <c r="P21" i="2"/>
  <c r="P25" i="2" s="1"/>
  <c r="F11" i="2" s="1"/>
  <c r="Q55" i="2" s="1"/>
  <c r="AE55" i="2" s="1"/>
  <c r="K22" i="2"/>
  <c r="J26" i="2" s="1"/>
  <c r="E12" i="2" s="1"/>
  <c r="P56" i="2" s="1"/>
  <c r="AD56" i="2" s="1"/>
  <c r="K21" i="2"/>
  <c r="J21" i="2"/>
  <c r="J27" i="2" s="1"/>
  <c r="E13" i="2" s="1"/>
  <c r="P57" i="2" s="1"/>
  <c r="AD57" i="2" s="1"/>
  <c r="E22" i="2"/>
  <c r="E21" i="2"/>
  <c r="B60" i="3"/>
  <c r="C60" i="3"/>
  <c r="D60" i="3"/>
  <c r="E60" i="3"/>
  <c r="F60" i="3"/>
  <c r="G60" i="3"/>
  <c r="H60" i="3"/>
  <c r="B61" i="3"/>
  <c r="B62" i="3"/>
  <c r="B63" i="3"/>
  <c r="B64" i="3"/>
  <c r="B65" i="3"/>
  <c r="B66" i="3"/>
  <c r="F40" i="3"/>
  <c r="G39" i="3" s="1"/>
  <c r="E39" i="3"/>
  <c r="F38" i="3" s="1"/>
  <c r="E40" i="3"/>
  <c r="G38" i="3" s="1"/>
  <c r="D38" i="3"/>
  <c r="E37" i="3" s="1"/>
  <c r="D39" i="3"/>
  <c r="D40" i="3"/>
  <c r="G37" i="3" s="1"/>
  <c r="E41" i="3"/>
  <c r="H38" i="3" s="1"/>
  <c r="D41" i="3"/>
  <c r="H37" i="3" s="1"/>
  <c r="F41" i="3"/>
  <c r="H39" i="3" s="1"/>
  <c r="G41" i="3"/>
  <c r="H40" i="3" s="1"/>
  <c r="C38" i="3"/>
  <c r="E36" i="3" s="1"/>
  <c r="C39" i="3"/>
  <c r="F36" i="3" s="1"/>
  <c r="C40" i="3"/>
  <c r="C41" i="3"/>
  <c r="C37" i="3"/>
  <c r="D36" i="3" s="1"/>
  <c r="F37" i="3"/>
  <c r="H36" i="3"/>
  <c r="G36" i="3"/>
  <c r="H31" i="3"/>
  <c r="H30" i="3"/>
  <c r="G30" i="3"/>
  <c r="H29" i="3"/>
  <c r="G29" i="3"/>
  <c r="F29" i="3"/>
  <c r="H28" i="3"/>
  <c r="G28" i="3"/>
  <c r="F28" i="3"/>
  <c r="E28" i="3"/>
  <c r="H27" i="3"/>
  <c r="G27" i="3"/>
  <c r="F27" i="3"/>
  <c r="E27" i="3"/>
  <c r="D27" i="3"/>
  <c r="H23" i="3"/>
  <c r="H22" i="3"/>
  <c r="G22" i="3"/>
  <c r="H21" i="3"/>
  <c r="G21" i="3"/>
  <c r="F21" i="3"/>
  <c r="H20" i="3"/>
  <c r="G20" i="3"/>
  <c r="F20" i="3"/>
  <c r="E20" i="3"/>
  <c r="H19" i="3"/>
  <c r="G19" i="3"/>
  <c r="F19" i="3"/>
  <c r="E19" i="3"/>
  <c r="D19" i="3"/>
  <c r="H15" i="3"/>
  <c r="H14" i="3"/>
  <c r="G14" i="3"/>
  <c r="H13" i="3"/>
  <c r="G13" i="3"/>
  <c r="F13" i="3"/>
  <c r="H12" i="3"/>
  <c r="G12" i="3"/>
  <c r="F12" i="3"/>
  <c r="E12" i="3"/>
  <c r="H11" i="3"/>
  <c r="G11" i="3"/>
  <c r="F11" i="3"/>
  <c r="E11" i="3"/>
  <c r="D11" i="3"/>
  <c r="H7" i="3"/>
  <c r="H6" i="3"/>
  <c r="G6" i="3"/>
  <c r="H5" i="3"/>
  <c r="G5" i="3"/>
  <c r="F5" i="3"/>
  <c r="H4" i="3"/>
  <c r="G4" i="3"/>
  <c r="F4" i="3"/>
  <c r="E4" i="3"/>
  <c r="H3" i="3"/>
  <c r="G3" i="3"/>
  <c r="F3" i="3"/>
  <c r="E3" i="3"/>
  <c r="D3" i="3"/>
  <c r="P35" i="2"/>
  <c r="R34" i="2"/>
  <c r="P34" i="2"/>
  <c r="O34" i="2"/>
  <c r="R32" i="2"/>
  <c r="P32" i="2"/>
  <c r="J35" i="2"/>
  <c r="L34" i="2"/>
  <c r="J34" i="2"/>
  <c r="L32" i="2"/>
  <c r="J32" i="2"/>
  <c r="J38" i="2" s="1"/>
  <c r="I8" i="2" s="1"/>
  <c r="T52" i="2" s="1"/>
  <c r="AH52" i="2" s="1"/>
  <c r="D35" i="2"/>
  <c r="F34" i="2"/>
  <c r="D34" i="2"/>
  <c r="C34" i="2"/>
  <c r="F32" i="2"/>
  <c r="D32" i="2"/>
  <c r="AL21" i="1"/>
  <c r="AL22" i="1"/>
  <c r="AL23" i="1"/>
  <c r="AL24" i="1"/>
  <c r="AL25" i="1"/>
  <c r="AL26" i="1"/>
  <c r="AF22" i="1"/>
  <c r="AG22" i="1"/>
  <c r="AH22" i="1"/>
  <c r="AI22" i="1"/>
  <c r="AJ22" i="1"/>
  <c r="AF23" i="1"/>
  <c r="AG23" i="1"/>
  <c r="AH23" i="1"/>
  <c r="AI23" i="1"/>
  <c r="AJ23" i="1"/>
  <c r="AF24" i="1"/>
  <c r="AG24" i="1"/>
  <c r="AH24" i="1"/>
  <c r="AI24" i="1"/>
  <c r="AJ24" i="1"/>
  <c r="AB31" i="1"/>
  <c r="AB32" i="1"/>
  <c r="AB33" i="1"/>
  <c r="AA31" i="1"/>
  <c r="AA32" i="1"/>
  <c r="AA33" i="1"/>
  <c r="Z31" i="1"/>
  <c r="Z32" i="1"/>
  <c r="Z33" i="1"/>
  <c r="Y31" i="1"/>
  <c r="Y32" i="1"/>
  <c r="Y33" i="1"/>
  <c r="X31" i="1"/>
  <c r="X32" i="1"/>
  <c r="X33" i="1"/>
  <c r="P47" i="1"/>
  <c r="P48" i="1"/>
  <c r="P46" i="1"/>
  <c r="L47" i="1"/>
  <c r="L48" i="1"/>
  <c r="L46" i="1"/>
  <c r="H47" i="1"/>
  <c r="H48" i="1"/>
  <c r="H46" i="1"/>
  <c r="J25" i="2" l="1"/>
  <c r="E11" i="2" s="1"/>
  <c r="P55" i="2" s="1"/>
  <c r="AD55" i="2" s="1"/>
  <c r="D26" i="2"/>
  <c r="D12" i="2" s="1"/>
  <c r="O56" i="2" s="1"/>
  <c r="AC56" i="2" s="1"/>
  <c r="D25" i="2"/>
  <c r="D11" i="2" s="1"/>
  <c r="O55" i="2" s="1"/>
  <c r="AC55" i="2" s="1"/>
  <c r="D27" i="2"/>
  <c r="D13" i="2" s="1"/>
  <c r="O57" i="2" s="1"/>
  <c r="AC57" i="2" s="1"/>
  <c r="G12" i="2"/>
  <c r="R56" i="2" s="1"/>
  <c r="AF56" i="2" s="1"/>
  <c r="P38" i="2"/>
  <c r="J8" i="2" s="1"/>
  <c r="U52" i="2" s="1"/>
  <c r="AI52" i="2" s="1"/>
  <c r="P40" i="2"/>
  <c r="J10" i="2" s="1"/>
  <c r="U54" i="2" s="1"/>
  <c r="AI54" i="2" s="1"/>
  <c r="D38" i="2"/>
  <c r="H8" i="2" s="1"/>
  <c r="S52" i="2" s="1"/>
  <c r="AG52" i="2" s="1"/>
  <c r="G13" i="2"/>
  <c r="R57" i="2" s="1"/>
  <c r="AF57" i="2" s="1"/>
  <c r="G11" i="2"/>
  <c r="R55" i="2" s="1"/>
  <c r="AF55" i="2" s="1"/>
  <c r="D51" i="3"/>
  <c r="D64" i="3" s="1"/>
  <c r="F49" i="3"/>
  <c r="F62" i="3" s="1"/>
  <c r="E49" i="3"/>
  <c r="E62" i="3" s="1"/>
  <c r="C53" i="3"/>
  <c r="C66" i="3" s="1"/>
  <c r="F50" i="3"/>
  <c r="F63" i="3" s="1"/>
  <c r="D45" i="3"/>
  <c r="H48" i="3" s="1"/>
  <c r="H61" i="3" s="1"/>
  <c r="F52" i="3"/>
  <c r="F65" i="3" s="1"/>
  <c r="E52" i="3"/>
  <c r="E65" i="3" s="1"/>
  <c r="P37" i="2"/>
  <c r="J7" i="2" s="1"/>
  <c r="U51" i="2" s="1"/>
  <c r="AI51" i="2" s="1"/>
  <c r="J37" i="2"/>
  <c r="I7" i="2" s="1"/>
  <c r="T51" i="2" s="1"/>
  <c r="AH51" i="2" s="1"/>
  <c r="J40" i="2"/>
  <c r="I10" i="2" s="1"/>
  <c r="T54" i="2" s="1"/>
  <c r="AH54" i="2" s="1"/>
  <c r="J39" i="2"/>
  <c r="I9" i="2" s="1"/>
  <c r="T53" i="2" s="1"/>
  <c r="AH53" i="2" s="1"/>
  <c r="P39" i="2"/>
  <c r="J9" i="2" s="1"/>
  <c r="U53" i="2" s="1"/>
  <c r="AI53" i="2" s="1"/>
  <c r="D37" i="2"/>
  <c r="H7" i="2" s="1"/>
  <c r="S51" i="2" s="1"/>
  <c r="AG51" i="2" s="1"/>
  <c r="D40" i="2"/>
  <c r="H10" i="2" s="1"/>
  <c r="S54" i="2" s="1"/>
  <c r="AG54" i="2" s="1"/>
  <c r="D39" i="2"/>
  <c r="H9" i="2" s="1"/>
  <c r="S53" i="2" s="1"/>
  <c r="AG53" i="2" s="1"/>
  <c r="O47" i="1"/>
  <c r="O48" i="1"/>
  <c r="O46" i="1"/>
  <c r="K47" i="1"/>
  <c r="K48" i="1"/>
  <c r="K46" i="1"/>
  <c r="G47" i="1"/>
  <c r="G48" i="1"/>
  <c r="G46" i="1"/>
  <c r="C47" i="1"/>
  <c r="C48" i="1"/>
  <c r="C46" i="1"/>
  <c r="AP50" i="2" l="1" a="1"/>
  <c r="AP50" i="2" s="1"/>
  <c r="G49" i="3"/>
  <c r="G62" i="3" s="1"/>
  <c r="H50" i="3"/>
  <c r="H63" i="3" s="1"/>
  <c r="H51" i="3"/>
  <c r="H64" i="3" s="1"/>
  <c r="H52" i="3"/>
  <c r="H65" i="3" s="1"/>
  <c r="E53" i="3"/>
  <c r="E66" i="3" s="1"/>
  <c r="G50" i="3"/>
  <c r="G63" i="3" s="1"/>
  <c r="C49" i="3"/>
  <c r="C62" i="3" s="1"/>
  <c r="C51" i="3"/>
  <c r="C64" i="3" s="1"/>
  <c r="F53" i="3"/>
  <c r="F66" i="3" s="1"/>
  <c r="E50" i="3"/>
  <c r="E63" i="3" s="1"/>
  <c r="G52" i="3"/>
  <c r="G65" i="3" s="1"/>
  <c r="C48" i="3"/>
  <c r="C61" i="3" s="1"/>
  <c r="D49" i="3"/>
  <c r="D62" i="3" s="1"/>
  <c r="D53" i="3"/>
  <c r="D66" i="3" s="1"/>
  <c r="F51" i="3"/>
  <c r="F64" i="3" s="1"/>
  <c r="G51" i="3"/>
  <c r="G64" i="3" s="1"/>
  <c r="G53" i="3"/>
  <c r="G66" i="3" s="1"/>
  <c r="H49" i="3"/>
  <c r="H62" i="3" s="1"/>
  <c r="H53" i="3"/>
  <c r="H66" i="3" s="1"/>
  <c r="C50" i="3"/>
  <c r="C63" i="3" s="1"/>
  <c r="C52" i="3"/>
  <c r="C65" i="3" s="1"/>
  <c r="D48" i="3"/>
  <c r="D61" i="3" s="1"/>
  <c r="D50" i="3"/>
  <c r="D63" i="3" s="1"/>
  <c r="D52" i="3"/>
  <c r="D65" i="3" s="1"/>
  <c r="E48" i="3"/>
  <c r="E61" i="3" s="1"/>
  <c r="E51" i="3"/>
  <c r="E64" i="3" s="1"/>
  <c r="F48" i="3"/>
  <c r="F61" i="3" s="1"/>
  <c r="G48" i="3"/>
  <c r="G61" i="3" s="1"/>
  <c r="D46" i="1"/>
  <c r="W31" i="1" s="1"/>
  <c r="AE22" i="1" s="1"/>
  <c r="D48" i="1"/>
  <c r="W33" i="1" s="1"/>
  <c r="AE24" i="1" s="1"/>
  <c r="D47" i="1"/>
  <c r="W32" i="1" s="1"/>
  <c r="AE23" i="1" s="1"/>
  <c r="P31" i="1"/>
  <c r="P32" i="1"/>
  <c r="P30" i="1"/>
  <c r="M32" i="1"/>
  <c r="M31" i="1"/>
  <c r="L31" i="1"/>
  <c r="G31" i="1"/>
  <c r="G32" i="1"/>
  <c r="G30" i="1"/>
  <c r="D32" i="1"/>
  <c r="D31" i="1"/>
  <c r="C31" i="1"/>
  <c r="M18" i="1"/>
  <c r="L25" i="1" s="1"/>
  <c r="H19" i="1"/>
  <c r="H23" i="1" s="1"/>
  <c r="C20" i="1"/>
  <c r="B20" i="1"/>
  <c r="C21" i="1"/>
  <c r="E20" i="1"/>
  <c r="E18" i="1"/>
  <c r="C18" i="1"/>
  <c r="AV50" i="2" l="1"/>
  <c r="AQ53" i="2"/>
  <c r="AR51" i="2"/>
  <c r="AU53" i="2"/>
  <c r="AU55" i="2"/>
  <c r="AU52" i="2"/>
  <c r="AU54" i="2"/>
  <c r="AQ51" i="2"/>
  <c r="AR54" i="2"/>
  <c r="AP55" i="2"/>
  <c r="AS56" i="2"/>
  <c r="AQ52" i="2"/>
  <c r="AR50" i="2"/>
  <c r="AQ55" i="2"/>
  <c r="AS51" i="2"/>
  <c r="AS55" i="2"/>
  <c r="AS54" i="2"/>
  <c r="AP54" i="2"/>
  <c r="AT53" i="2"/>
  <c r="AV52" i="2"/>
  <c r="AT56" i="2"/>
  <c r="AT52" i="2"/>
  <c r="AR55" i="2"/>
  <c r="AV53" i="2"/>
  <c r="AT51" i="2"/>
  <c r="AV51" i="2"/>
  <c r="AP51" i="2"/>
  <c r="AU56" i="2"/>
  <c r="AV55" i="2"/>
  <c r="AV54" i="2"/>
  <c r="AP53" i="2"/>
  <c r="AS53" i="2"/>
  <c r="AV56" i="2"/>
  <c r="AU51" i="2"/>
  <c r="AP52" i="2"/>
  <c r="AQ54" i="2"/>
  <c r="AQ50" i="2"/>
  <c r="AU50" i="2"/>
  <c r="AQ56" i="2"/>
  <c r="AR56" i="2"/>
  <c r="AS52" i="2"/>
  <c r="AT54" i="2"/>
  <c r="AS50" i="2"/>
  <c r="AT50" i="2"/>
  <c r="AR52" i="2"/>
  <c r="AP56" i="2"/>
  <c r="AT55" i="2"/>
  <c r="AR53" i="2"/>
  <c r="AP59" i="2" a="1"/>
  <c r="J61" i="3" a="1"/>
  <c r="AO22" i="1" a="1"/>
  <c r="AO22" i="1" s="1"/>
  <c r="H24" i="1"/>
  <c r="L24" i="1"/>
  <c r="C24" i="1"/>
  <c r="T18" i="1" s="1"/>
  <c r="C23" i="1"/>
  <c r="T17" i="1" s="1"/>
  <c r="C26" i="1"/>
  <c r="T22" i="1" s="1"/>
  <c r="C25" i="1"/>
  <c r="T20" i="1" s="1"/>
  <c r="AT60" i="2" l="1"/>
  <c r="AP62" i="2"/>
  <c r="AQ59" i="2"/>
  <c r="AR64" i="2"/>
  <c r="AP59" i="2"/>
  <c r="AQ63" i="2"/>
  <c r="AU64" i="2"/>
  <c r="AV64" i="2"/>
  <c r="AQ62" i="2"/>
  <c r="AR62" i="2"/>
  <c r="AT64" i="2"/>
  <c r="AP65" i="2"/>
  <c r="AR63" i="2"/>
  <c r="AQ65" i="2"/>
  <c r="AV60" i="2"/>
  <c r="AV65" i="2"/>
  <c r="AT61" i="2"/>
  <c r="AR65" i="2"/>
  <c r="AS62" i="2"/>
  <c r="AP63" i="2"/>
  <c r="AU61" i="2"/>
  <c r="AS65" i="2"/>
  <c r="AT59" i="2"/>
  <c r="AQ64" i="2"/>
  <c r="AV61" i="2"/>
  <c r="AQ60" i="2"/>
  <c r="AS64" i="2"/>
  <c r="AR61" i="2"/>
  <c r="AT63" i="2"/>
  <c r="AS61" i="2"/>
  <c r="AS60" i="2"/>
  <c r="AU65" i="2"/>
  <c r="AR59" i="2"/>
  <c r="AP60" i="2"/>
  <c r="AU62" i="2"/>
  <c r="AS63" i="2"/>
  <c r="AP61" i="2"/>
  <c r="AU59" i="2"/>
  <c r="AV62" i="2"/>
  <c r="AQ61" i="2"/>
  <c r="AV59" i="2"/>
  <c r="AT62" i="2"/>
  <c r="AV63" i="2"/>
  <c r="AS59" i="2"/>
  <c r="AU60" i="2"/>
  <c r="AP64" i="2"/>
  <c r="AT65" i="2"/>
  <c r="AR60" i="2"/>
  <c r="AU63" i="2"/>
  <c r="J61" i="3"/>
  <c r="J63" i="3"/>
  <c r="J65" i="3"/>
  <c r="O66" i="3"/>
  <c r="N62" i="3"/>
  <c r="K61" i="3"/>
  <c r="K63" i="3"/>
  <c r="K65" i="3"/>
  <c r="L61" i="3"/>
  <c r="L63" i="3"/>
  <c r="L65" i="3"/>
  <c r="M61" i="3"/>
  <c r="M63" i="3"/>
  <c r="M65" i="3"/>
  <c r="N61" i="3"/>
  <c r="N63" i="3"/>
  <c r="N65" i="3"/>
  <c r="O61" i="3"/>
  <c r="O63" i="3"/>
  <c r="O65" i="3"/>
  <c r="J62" i="3"/>
  <c r="J64" i="3"/>
  <c r="J66" i="3"/>
  <c r="K62" i="3"/>
  <c r="K64" i="3"/>
  <c r="K66" i="3"/>
  <c r="L62" i="3"/>
  <c r="L64" i="3"/>
  <c r="L66" i="3"/>
  <c r="M62" i="3"/>
  <c r="M64" i="3"/>
  <c r="M66" i="3"/>
  <c r="N64" i="3"/>
  <c r="N66" i="3"/>
  <c r="O62" i="3"/>
  <c r="O64" i="3"/>
  <c r="AO23" i="1"/>
  <c r="AO24" i="1"/>
  <c r="T21" i="1"/>
  <c r="T19" i="1"/>
  <c r="AP68" i="2" l="1" a="1"/>
  <c r="Q61" i="3" a="1"/>
  <c r="AV72" i="2" l="1"/>
  <c r="AS72" i="2"/>
  <c r="AS68" i="2"/>
  <c r="AR74" i="2"/>
  <c r="AP72" i="2"/>
  <c r="AQ69" i="2"/>
  <c r="AU72" i="2"/>
  <c r="AV69" i="2"/>
  <c r="AT72" i="2"/>
  <c r="AP68" i="2"/>
  <c r="AR70" i="2"/>
  <c r="AP73" i="2"/>
  <c r="AV74" i="2"/>
  <c r="AQ68" i="2"/>
  <c r="AT68" i="2"/>
  <c r="AU70" i="2"/>
  <c r="AV70" i="2"/>
  <c r="AS73" i="2"/>
  <c r="AT74" i="2"/>
  <c r="AQ73" i="2"/>
  <c r="AT69" i="2"/>
  <c r="AV68" i="2"/>
  <c r="AV71" i="2"/>
  <c r="AU71" i="2"/>
  <c r="AS70" i="2"/>
  <c r="AR72" i="2"/>
  <c r="AU69" i="2"/>
  <c r="AS71" i="2"/>
  <c r="AT70" i="2"/>
  <c r="AS69" i="2"/>
  <c r="AR68" i="2"/>
  <c r="AP70" i="2"/>
  <c r="AQ71" i="2"/>
  <c r="AU73" i="2"/>
  <c r="AQ70" i="2"/>
  <c r="AS74" i="2"/>
  <c r="AR71" i="2"/>
  <c r="AV73" i="2"/>
  <c r="AR69" i="2"/>
  <c r="AU74" i="2"/>
  <c r="AR73" i="2"/>
  <c r="AT73" i="2"/>
  <c r="AP74" i="2"/>
  <c r="AU68" i="2"/>
  <c r="AP69" i="2"/>
  <c r="AP71" i="2"/>
  <c r="AQ74" i="2"/>
  <c r="AQ72" i="2"/>
  <c r="AT71" i="2"/>
  <c r="R61" i="3"/>
  <c r="U62" i="3"/>
  <c r="U64" i="3"/>
  <c r="R64" i="3"/>
  <c r="V65" i="3"/>
  <c r="R62" i="3"/>
  <c r="Q65" i="3"/>
  <c r="S62" i="3"/>
  <c r="S63" i="3"/>
  <c r="V64" i="3"/>
  <c r="R66" i="3"/>
  <c r="T64" i="3"/>
  <c r="V63" i="3"/>
  <c r="T65" i="3"/>
  <c r="S66" i="3"/>
  <c r="T61" i="3"/>
  <c r="T66" i="3"/>
  <c r="S64" i="3"/>
  <c r="S65" i="3"/>
  <c r="S61" i="3"/>
  <c r="T62" i="3"/>
  <c r="Q66" i="3"/>
  <c r="U65" i="3"/>
  <c r="Q61" i="3"/>
  <c r="X61" i="3" s="1" a="1"/>
  <c r="Q64" i="3"/>
  <c r="U63" i="3"/>
  <c r="V66" i="3"/>
  <c r="Q62" i="3"/>
  <c r="U61" i="3"/>
  <c r="U66" i="3"/>
  <c r="V61" i="3"/>
  <c r="R65" i="3"/>
  <c r="Q63" i="3"/>
  <c r="R63" i="3"/>
  <c r="V62" i="3"/>
  <c r="T63" i="3"/>
  <c r="AP77" i="2" l="1" a="1"/>
  <c r="X61" i="3"/>
  <c r="Z63" i="3"/>
  <c r="Z66" i="3"/>
  <c r="Y64" i="3"/>
  <c r="X66" i="3"/>
  <c r="AB61" i="3"/>
  <c r="AC66" i="3"/>
  <c r="Z61" i="3"/>
  <c r="Y63" i="3"/>
  <c r="X62" i="3"/>
  <c r="AA66" i="3"/>
  <c r="Z64" i="3"/>
  <c r="AB66" i="3"/>
  <c r="X64" i="3"/>
  <c r="AA65" i="3"/>
  <c r="Z65" i="3"/>
  <c r="AC64" i="3"/>
  <c r="Y61" i="3"/>
  <c r="X65" i="3"/>
  <c r="AA64" i="3"/>
  <c r="Z62" i="3"/>
  <c r="AB64" i="3"/>
  <c r="AC65" i="3"/>
  <c r="AA63" i="3"/>
  <c r="X63" i="3"/>
  <c r="AB65" i="3"/>
  <c r="AC62" i="3"/>
  <c r="Y62" i="3"/>
  <c r="AA62" i="3"/>
  <c r="Y66" i="3"/>
  <c r="AB63" i="3"/>
  <c r="AC61" i="3"/>
  <c r="AA61" i="3"/>
  <c r="AC63" i="3"/>
  <c r="Y65" i="3"/>
  <c r="AB62" i="3"/>
  <c r="AU81" i="2" l="1"/>
  <c r="AU77" i="2"/>
  <c r="AQ77" i="2"/>
  <c r="AS77" i="2"/>
  <c r="AS78" i="2"/>
  <c r="AP83" i="2"/>
  <c r="AQ83" i="2"/>
  <c r="AP82" i="2"/>
  <c r="AS83" i="2"/>
  <c r="AR80" i="2"/>
  <c r="AR77" i="2"/>
  <c r="AR81" i="2"/>
  <c r="AS79" i="2"/>
  <c r="AP77" i="2"/>
  <c r="AV82" i="2"/>
  <c r="AV77" i="2"/>
  <c r="AP81" i="2"/>
  <c r="AT82" i="2"/>
  <c r="AV79" i="2"/>
  <c r="AQ81" i="2"/>
  <c r="AU80" i="2"/>
  <c r="AT81" i="2"/>
  <c r="AT79" i="2"/>
  <c r="AV83" i="2"/>
  <c r="AR83" i="2"/>
  <c r="AP79" i="2"/>
  <c r="AQ80" i="2"/>
  <c r="AT83" i="2"/>
  <c r="AQ82" i="2"/>
  <c r="AP78" i="2"/>
  <c r="AV80" i="2"/>
  <c r="AR79" i="2"/>
  <c r="AR78" i="2"/>
  <c r="AV78" i="2"/>
  <c r="AU79" i="2"/>
  <c r="AP80" i="2"/>
  <c r="AS82" i="2"/>
  <c r="AQ78" i="2"/>
  <c r="AS80" i="2"/>
  <c r="AU78" i="2"/>
  <c r="AV81" i="2"/>
  <c r="AQ79" i="2"/>
  <c r="AR82" i="2"/>
  <c r="AT78" i="2"/>
  <c r="AT77" i="2"/>
  <c r="AU83" i="2"/>
  <c r="AS81" i="2"/>
  <c r="AU82" i="2"/>
  <c r="AT80" i="2"/>
  <c r="AE61" i="3" a="1"/>
  <c r="AP86" i="2" l="1" a="1"/>
  <c r="AF61" i="3"/>
  <c r="AG66" i="3"/>
  <c r="AG63" i="3"/>
  <c r="AG64" i="3"/>
  <c r="AJ61" i="3"/>
  <c r="AF65" i="3"/>
  <c r="AH63" i="3"/>
  <c r="AJ63" i="3"/>
  <c r="AE64" i="3"/>
  <c r="AI64" i="3"/>
  <c r="AE61" i="3"/>
  <c r="AG62" i="3"/>
  <c r="AJ66" i="3"/>
  <c r="AG61" i="3"/>
  <c r="AF66" i="3"/>
  <c r="AI61" i="3"/>
  <c r="AJ65" i="3"/>
  <c r="AH66" i="3"/>
  <c r="AI62" i="3"/>
  <c r="AH62" i="3"/>
  <c r="AE63" i="3"/>
  <c r="AE66" i="3"/>
  <c r="AH64" i="3"/>
  <c r="AE65" i="3"/>
  <c r="AF62" i="3"/>
  <c r="AI66" i="3"/>
  <c r="AE62" i="3"/>
  <c r="AF63" i="3"/>
  <c r="AI63" i="3"/>
  <c r="AJ64" i="3"/>
  <c r="AF64" i="3"/>
  <c r="AG65" i="3"/>
  <c r="AJ62" i="3"/>
  <c r="AH61" i="3"/>
  <c r="AI65" i="3"/>
  <c r="AH65" i="3"/>
  <c r="AQ86" i="2" l="1"/>
  <c r="AH88" i="2" s="1"/>
  <c r="AV90" i="2"/>
  <c r="AM92" i="2" s="1"/>
  <c r="AT86" i="2"/>
  <c r="AK88" i="2" s="1"/>
  <c r="AQ90" i="2"/>
  <c r="AH92" i="2" s="1"/>
  <c r="AP86" i="2"/>
  <c r="AG88" i="2" s="1"/>
  <c r="AR92" i="2"/>
  <c r="AI94" i="2" s="1"/>
  <c r="AU90" i="2"/>
  <c r="AL92" i="2" s="1"/>
  <c r="AP87" i="2"/>
  <c r="AG89" i="2" s="1"/>
  <c r="AP88" i="2"/>
  <c r="AG90" i="2" s="1"/>
  <c r="AQ91" i="2"/>
  <c r="AH93" i="2" s="1"/>
  <c r="AT92" i="2"/>
  <c r="AK94" i="2" s="1"/>
  <c r="AP90" i="2"/>
  <c r="AG92" i="2" s="1"/>
  <c r="AV88" i="2"/>
  <c r="AM90" i="2" s="1"/>
  <c r="AT89" i="2"/>
  <c r="AK91" i="2" s="1"/>
  <c r="AU86" i="2"/>
  <c r="AL88" i="2" s="1"/>
  <c r="AS92" i="2"/>
  <c r="AJ94" i="2" s="1"/>
  <c r="AT88" i="2"/>
  <c r="AK90" i="2" s="1"/>
  <c r="AQ87" i="2"/>
  <c r="AH89" i="2" s="1"/>
  <c r="AU89" i="2"/>
  <c r="AL91" i="2" s="1"/>
  <c r="AS86" i="2"/>
  <c r="AJ88" i="2" s="1"/>
  <c r="AU88" i="2"/>
  <c r="AL90" i="2" s="1"/>
  <c r="AR87" i="2"/>
  <c r="AI89" i="2" s="1"/>
  <c r="AP91" i="2"/>
  <c r="AG93" i="2" s="1"/>
  <c r="AT91" i="2"/>
  <c r="AK93" i="2" s="1"/>
  <c r="AU91" i="2"/>
  <c r="AL93" i="2" s="1"/>
  <c r="AV92" i="2"/>
  <c r="AM94" i="2" s="1"/>
  <c r="AU92" i="2"/>
  <c r="AL94" i="2" s="1"/>
  <c r="AP92" i="2"/>
  <c r="AG94" i="2" s="1"/>
  <c r="AR91" i="2"/>
  <c r="AI93" i="2" s="1"/>
  <c r="AT90" i="2"/>
  <c r="AK92" i="2" s="1"/>
  <c r="AT87" i="2"/>
  <c r="AK89" i="2" s="1"/>
  <c r="AR90" i="2"/>
  <c r="AI92" i="2" s="1"/>
  <c r="AQ89" i="2"/>
  <c r="AH91" i="2" s="1"/>
  <c r="AV89" i="2"/>
  <c r="AM91" i="2" s="1"/>
  <c r="AR89" i="2"/>
  <c r="AI91" i="2" s="1"/>
  <c r="AV86" i="2"/>
  <c r="AM88" i="2" s="1"/>
  <c r="AQ92" i="2"/>
  <c r="AH94" i="2" s="1"/>
  <c r="AU87" i="2"/>
  <c r="AL89" i="2" s="1"/>
  <c r="AS87" i="2"/>
  <c r="AJ89" i="2" s="1"/>
  <c r="AP89" i="2"/>
  <c r="AG91" i="2" s="1"/>
  <c r="AQ88" i="2"/>
  <c r="AH90" i="2" s="1"/>
  <c r="AS91" i="2"/>
  <c r="AJ93" i="2" s="1"/>
  <c r="AS89" i="2"/>
  <c r="AJ91" i="2" s="1"/>
  <c r="AR86" i="2"/>
  <c r="AI88" i="2" s="1"/>
  <c r="AR88" i="2"/>
  <c r="AI90" i="2" s="1"/>
  <c r="AS90" i="2"/>
  <c r="AJ92" i="2" s="1"/>
  <c r="AV87" i="2"/>
  <c r="AM89" i="2" s="1"/>
  <c r="AS88" i="2"/>
  <c r="AJ90" i="2" s="1"/>
  <c r="AV91" i="2"/>
  <c r="AM93" i="2" s="1"/>
  <c r="AL61" i="3" a="1"/>
  <c r="AP66" i="3" l="1"/>
  <c r="G74" i="3" s="1"/>
  <c r="AO66" i="3"/>
  <c r="F74" i="3" s="1"/>
  <c r="AL65" i="3"/>
  <c r="C73" i="3" s="1"/>
  <c r="AQ65" i="3"/>
  <c r="H73" i="3" s="1"/>
  <c r="AQ62" i="3"/>
  <c r="H70" i="3" s="1"/>
  <c r="AL62" i="3"/>
  <c r="C70" i="3" s="1"/>
  <c r="AQ61" i="3"/>
  <c r="H69" i="3" s="1"/>
  <c r="AN63" i="3"/>
  <c r="E71" i="3" s="1"/>
  <c r="AP61" i="3"/>
  <c r="G69" i="3" s="1"/>
  <c r="AN66" i="3"/>
  <c r="E74" i="3" s="1"/>
  <c r="AQ64" i="3"/>
  <c r="H72" i="3" s="1"/>
  <c r="AN62" i="3"/>
  <c r="E70" i="3" s="1"/>
  <c r="AN65" i="3"/>
  <c r="E73" i="3" s="1"/>
  <c r="AL64" i="3"/>
  <c r="C72" i="3" s="1"/>
  <c r="AO64" i="3"/>
  <c r="F72" i="3" s="1"/>
  <c r="AM63" i="3"/>
  <c r="D71" i="3" s="1"/>
  <c r="AM65" i="3"/>
  <c r="D73" i="3" s="1"/>
  <c r="AP65" i="3"/>
  <c r="G73" i="3" s="1"/>
  <c r="AP62" i="3"/>
  <c r="G70" i="3" s="1"/>
  <c r="AN61" i="3"/>
  <c r="E69" i="3" s="1"/>
  <c r="AL66" i="3"/>
  <c r="C74" i="3" s="1"/>
  <c r="AM62" i="3"/>
  <c r="D70" i="3" s="1"/>
  <c r="AM66" i="3"/>
  <c r="D74" i="3" s="1"/>
  <c r="AM61" i="3"/>
  <c r="D69" i="3" s="1"/>
  <c r="AP63" i="3"/>
  <c r="G71" i="3" s="1"/>
  <c r="AP64" i="3"/>
  <c r="G72" i="3" s="1"/>
  <c r="AN64" i="3"/>
  <c r="E72" i="3" s="1"/>
  <c r="AO62" i="3"/>
  <c r="F70" i="3" s="1"/>
  <c r="AL63" i="3"/>
  <c r="C71" i="3" s="1"/>
  <c r="AM64" i="3"/>
  <c r="D72" i="3" s="1"/>
  <c r="AO65" i="3"/>
  <c r="F73" i="3" s="1"/>
  <c r="AO61" i="3"/>
  <c r="F69" i="3" s="1"/>
  <c r="AO63" i="3"/>
  <c r="F71" i="3" s="1"/>
  <c r="AL61" i="3"/>
  <c r="C69" i="3" s="1"/>
  <c r="AQ63" i="3"/>
  <c r="H71" i="3" s="1"/>
  <c r="AQ66" i="3"/>
  <c r="H74" i="3" s="1"/>
  <c r="C91" i="3" l="1"/>
  <c r="C78" i="3"/>
  <c r="H94" i="3"/>
  <c r="D94" i="3"/>
  <c r="D90" i="3"/>
  <c r="C81" i="3"/>
  <c r="C94" i="3"/>
  <c r="E91" i="3"/>
  <c r="D92" i="3"/>
  <c r="C77" i="3"/>
  <c r="D91" i="3"/>
  <c r="F92" i="3"/>
  <c r="C80" i="3"/>
  <c r="C93" i="3"/>
  <c r="F77" i="3"/>
  <c r="D89" i="3"/>
  <c r="H91" i="3"/>
  <c r="C76" i="3"/>
  <c r="E77" i="3"/>
  <c r="C86" i="3"/>
  <c r="D93" i="3" s="1"/>
  <c r="F89" i="3"/>
  <c r="H77" i="3"/>
  <c r="E89" i="3"/>
  <c r="G77" i="3"/>
  <c r="G90" i="3"/>
  <c r="H89" i="3"/>
  <c r="J77" i="3"/>
  <c r="G93" i="3"/>
  <c r="F90" i="3"/>
  <c r="H93" i="3"/>
  <c r="C79" i="3"/>
  <c r="C92" i="3"/>
  <c r="F94" i="3"/>
  <c r="H92" i="3"/>
  <c r="I77" i="3"/>
  <c r="G89" i="3"/>
  <c r="G91" i="3"/>
  <c r="E93" i="3"/>
  <c r="G94" i="3"/>
  <c r="R77" i="3" l="1"/>
  <c r="R76" i="3"/>
  <c r="M77" i="3"/>
  <c r="M76" i="3"/>
  <c r="P76" i="3"/>
  <c r="P77" i="3"/>
  <c r="H90" i="3"/>
  <c r="F93" i="3"/>
  <c r="O76" i="3"/>
  <c r="O77" i="3"/>
  <c r="G92" i="3"/>
  <c r="F91" i="3"/>
  <c r="E92" i="3"/>
  <c r="C89" i="3"/>
  <c r="C90" i="3"/>
  <c r="E94" i="3"/>
  <c r="Q77" i="3"/>
  <c r="Q76" i="3"/>
  <c r="N76" i="3"/>
  <c r="N77" i="3"/>
  <c r="E90" i="3"/>
</calcChain>
</file>

<file path=xl/sharedStrings.xml><?xml version="1.0" encoding="utf-8"?>
<sst xmlns="http://schemas.openxmlformats.org/spreadsheetml/2006/main" count="466" uniqueCount="103">
  <si>
    <t>Reza Eskandari</t>
  </si>
  <si>
    <t>selected vehicles:</t>
  </si>
  <si>
    <t>2024 Nissan Z Nismo</t>
  </si>
  <si>
    <t>2024 Ford Mustang GT fastback</t>
  </si>
  <si>
    <t>price</t>
  </si>
  <si>
    <t>Fuel consumption</t>
  </si>
  <si>
    <t>engine capacity</t>
  </si>
  <si>
    <t>2025 Cadillac CT5 v</t>
  </si>
  <si>
    <t>Fuel consumption (mpg)</t>
  </si>
  <si>
    <t>maximum speed (mph)</t>
  </si>
  <si>
    <t>engine capacity (L)</t>
  </si>
  <si>
    <t>Quantitative criterias</t>
  </si>
  <si>
    <t>Qualitative criterias</t>
  </si>
  <si>
    <t>body quality</t>
  </si>
  <si>
    <t>Airbag</t>
  </si>
  <si>
    <t>goal</t>
  </si>
  <si>
    <t>safety</t>
  </si>
  <si>
    <t>Technical specifications</t>
  </si>
  <si>
    <r>
      <t xml:space="preserve">W </t>
    </r>
    <r>
      <rPr>
        <vertAlign val="subscript"/>
        <sz val="11"/>
        <color theme="1"/>
        <rFont val="Calibri"/>
        <family val="2"/>
        <scheme val="minor"/>
      </rPr>
      <t>price</t>
    </r>
  </si>
  <si>
    <t>fuel economy</t>
  </si>
  <si>
    <r>
      <t>W</t>
    </r>
    <r>
      <rPr>
        <vertAlign val="subscript"/>
        <sz val="11"/>
        <color theme="1"/>
        <rFont val="Calibri"/>
        <family val="2"/>
        <scheme val="minor"/>
      </rPr>
      <t>Technical specifications</t>
    </r>
  </si>
  <si>
    <r>
      <t>W</t>
    </r>
    <r>
      <rPr>
        <vertAlign val="subscript"/>
        <sz val="11"/>
        <color theme="1"/>
        <rFont val="Calibri"/>
        <family val="2"/>
        <scheme val="minor"/>
      </rPr>
      <t>fuel economy</t>
    </r>
  </si>
  <si>
    <r>
      <t>W</t>
    </r>
    <r>
      <rPr>
        <vertAlign val="subscript"/>
        <sz val="11"/>
        <color theme="1"/>
        <rFont val="Calibri"/>
        <family val="2"/>
        <scheme val="minor"/>
      </rPr>
      <t>safety</t>
    </r>
  </si>
  <si>
    <r>
      <t>W</t>
    </r>
    <r>
      <rPr>
        <vertAlign val="subscript"/>
        <sz val="11"/>
        <color theme="1"/>
        <rFont val="Calibri"/>
        <family val="2"/>
        <scheme val="minor"/>
      </rPr>
      <t>body quality</t>
    </r>
  </si>
  <si>
    <r>
      <t>W</t>
    </r>
    <r>
      <rPr>
        <vertAlign val="subscript"/>
        <sz val="11"/>
        <color theme="1"/>
        <rFont val="Calibri"/>
        <family val="2"/>
        <scheme val="minor"/>
      </rPr>
      <t>airbag</t>
    </r>
  </si>
  <si>
    <r>
      <t>W</t>
    </r>
    <r>
      <rPr>
        <vertAlign val="subscript"/>
        <sz val="11"/>
        <color theme="1"/>
        <rFont val="Calibri"/>
        <family val="2"/>
        <scheme val="minor"/>
      </rPr>
      <t>max speed</t>
    </r>
  </si>
  <si>
    <r>
      <t>W</t>
    </r>
    <r>
      <rPr>
        <vertAlign val="subscript"/>
        <sz val="11"/>
        <color theme="1"/>
        <rFont val="Calibri"/>
        <family val="2"/>
        <scheme val="minor"/>
      </rPr>
      <t>engine capacity</t>
    </r>
  </si>
  <si>
    <r>
      <t>W</t>
    </r>
    <r>
      <rPr>
        <vertAlign val="subscript"/>
        <sz val="11"/>
        <color theme="1"/>
        <rFont val="Calibri"/>
        <family val="2"/>
        <scheme val="minor"/>
      </rPr>
      <t>Nissan Z</t>
    </r>
  </si>
  <si>
    <r>
      <t>W</t>
    </r>
    <r>
      <rPr>
        <vertAlign val="subscript"/>
        <sz val="11"/>
        <color theme="1"/>
        <rFont val="Calibri"/>
        <family val="2"/>
        <scheme val="minor"/>
      </rPr>
      <t>Ford Mustang</t>
    </r>
  </si>
  <si>
    <r>
      <t>W</t>
    </r>
    <r>
      <rPr>
        <vertAlign val="subscript"/>
        <sz val="11"/>
        <color theme="1"/>
        <rFont val="Calibri"/>
        <family val="2"/>
        <scheme val="minor"/>
      </rPr>
      <t>Cadillac CT5</t>
    </r>
  </si>
  <si>
    <t>max speed</t>
  </si>
  <si>
    <t>Fuel economy</t>
  </si>
  <si>
    <t>1)Calculating criteria and sub-criteria weights</t>
  </si>
  <si>
    <t>2)Calculating weigh of each car twards each criteria</t>
  </si>
  <si>
    <t>3) Calculating final scores for each car</t>
  </si>
  <si>
    <r>
      <t>SCORE</t>
    </r>
    <r>
      <rPr>
        <vertAlign val="subscript"/>
        <sz val="16"/>
        <color theme="1"/>
        <rFont val="Calibri"/>
        <family val="2"/>
        <scheme val="minor"/>
      </rPr>
      <t>Ford Mustang</t>
    </r>
  </si>
  <si>
    <r>
      <t>SCORE</t>
    </r>
    <r>
      <rPr>
        <vertAlign val="subscript"/>
        <sz val="16"/>
        <color theme="1"/>
        <rFont val="Calibri"/>
        <family val="2"/>
        <scheme val="minor"/>
      </rPr>
      <t>Nissan Z</t>
    </r>
  </si>
  <si>
    <r>
      <t>SCORE</t>
    </r>
    <r>
      <rPr>
        <vertAlign val="subscript"/>
        <sz val="16"/>
        <color theme="1"/>
        <rFont val="Calibri"/>
        <family val="2"/>
        <scheme val="minor"/>
      </rPr>
      <t>Cadillac CT5</t>
    </r>
  </si>
  <si>
    <t>2025 Cadillac CT5 V</t>
  </si>
  <si>
    <t>WSM:</t>
  </si>
  <si>
    <t>technical speciications</t>
  </si>
  <si>
    <t>airbag</t>
  </si>
  <si>
    <t>cadillac CT5 V</t>
  </si>
  <si>
    <t>Mustang GT</t>
  </si>
  <si>
    <t>Nissan Z nismo</t>
  </si>
  <si>
    <t xml:space="preserve">cluster 1(main criterias) </t>
  </si>
  <si>
    <t>C1</t>
  </si>
  <si>
    <t>C2</t>
  </si>
  <si>
    <t>USM:</t>
  </si>
  <si>
    <t>technical specifications</t>
  </si>
  <si>
    <t>PCMs</t>
  </si>
  <si>
    <t>V:</t>
  </si>
  <si>
    <t>V21</t>
  </si>
  <si>
    <t>LIMIT SUPER MATRIX</t>
  </si>
  <si>
    <t>obj</t>
  </si>
  <si>
    <t xml:space="preserve">price </t>
  </si>
  <si>
    <t>first DM</t>
  </si>
  <si>
    <t>second DM</t>
  </si>
  <si>
    <t>third DM</t>
  </si>
  <si>
    <t>fourth DM</t>
  </si>
  <si>
    <t>average matrix</t>
  </si>
  <si>
    <t>Normalized Initial Direct-relation Matrix</t>
  </si>
  <si>
    <t>Total relation/influence matrix</t>
  </si>
  <si>
    <t>s:</t>
  </si>
  <si>
    <t>first step</t>
  </si>
  <si>
    <t>second step</t>
  </si>
  <si>
    <t>third step</t>
  </si>
  <si>
    <t>D:</t>
  </si>
  <si>
    <t>D</t>
  </si>
  <si>
    <t>D^2</t>
  </si>
  <si>
    <t>D^3</t>
  </si>
  <si>
    <t>D^4</t>
  </si>
  <si>
    <t>D^5</t>
  </si>
  <si>
    <t>D^6</t>
  </si>
  <si>
    <t>T:</t>
  </si>
  <si>
    <t>r1</t>
  </si>
  <si>
    <t>r2</t>
  </si>
  <si>
    <t>r3</t>
  </si>
  <si>
    <t>r4</t>
  </si>
  <si>
    <t>r5</t>
  </si>
  <si>
    <t>r6</t>
  </si>
  <si>
    <t>c1</t>
  </si>
  <si>
    <t>c2</t>
  </si>
  <si>
    <t>c3</t>
  </si>
  <si>
    <t>c4</t>
  </si>
  <si>
    <t>c5</t>
  </si>
  <si>
    <t>c6</t>
  </si>
  <si>
    <t>r+c</t>
  </si>
  <si>
    <t>r-c</t>
  </si>
  <si>
    <t>Net Cause</t>
  </si>
  <si>
    <t>Net Effect</t>
  </si>
  <si>
    <t>fourth step</t>
  </si>
  <si>
    <t>Threshold Value:</t>
  </si>
  <si>
    <r>
      <t>T</t>
    </r>
    <r>
      <rPr>
        <b/>
        <vertAlign val="subscript"/>
        <sz val="16"/>
        <color theme="1"/>
        <rFont val="Calibri"/>
        <family val="2"/>
        <scheme val="minor"/>
      </rPr>
      <t>p</t>
    </r>
    <r>
      <rPr>
        <b/>
        <sz val="16"/>
        <color theme="1"/>
        <rFont val="Calibri"/>
        <family val="2"/>
        <scheme val="minor"/>
      </rPr>
      <t>:</t>
    </r>
  </si>
  <si>
    <t xml:space="preserve">cluster 2(options) </t>
  </si>
  <si>
    <r>
      <t>W</t>
    </r>
    <r>
      <rPr>
        <vertAlign val="subscript"/>
        <sz val="11"/>
        <color theme="1"/>
        <rFont val="Calibri"/>
        <family val="2"/>
        <scheme val="minor"/>
      </rPr>
      <t>Cadillac CT5</t>
    </r>
    <r>
      <rPr>
        <sz val="11"/>
        <color theme="1"/>
        <rFont val="Calibri"/>
        <family val="2"/>
        <scheme val="minor"/>
      </rPr>
      <t/>
    </r>
  </si>
  <si>
    <t>V12</t>
  </si>
  <si>
    <t>power = 2</t>
  </si>
  <si>
    <t>power = 8</t>
  </si>
  <si>
    <t>power = 3</t>
  </si>
  <si>
    <t>power = 5</t>
  </si>
  <si>
    <t>power = 13</t>
  </si>
  <si>
    <r>
      <t xml:space="preserve">quantitative criterias (after normalization </t>
    </r>
    <r>
      <rPr>
        <b/>
        <u/>
        <sz val="11"/>
        <color theme="1"/>
        <rFont val="Calibri"/>
        <family val="2"/>
        <scheme val="minor"/>
      </rPr>
      <t>directly go to DM matrix</t>
    </r>
    <r>
      <rPr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</si>
</sst>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_);_([$$-409]* \(#,##0\);_([$$-409]* &quot;-&quot;??_);_(@_)"/>
  </numFmts>
  <fonts count="17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6"/>
      <color theme="1"/>
      <name val="Calibri"/>
      <family val="2"/>
      <scheme val="minor"/>
    </font>
    <font>
      <vertAlign val="subscript"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0"/>
      <name val="Segoe U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vertAlign val="subscript"/>
      <sz val="16"/>
      <color theme="1"/>
      <name val="Calibri"/>
      <family val="2"/>
      <scheme val="minor"/>
    </font>
    <font>
      <sz val="11"/>
      <color theme="4" tint="0.7999816888943144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64" fontId="0" fillId="0" borderId="18" xfId="0" applyNumberForma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12" fontId="0" fillId="2" borderId="1" xfId="0" applyNumberFormat="1" applyFill="1" applyBorder="1" applyAlignment="1">
      <alignment horizontal="center" vertical="center" wrapText="1"/>
    </xf>
    <xf numFmtId="12" fontId="0" fillId="2" borderId="16" xfId="0" applyNumberFormat="1" applyFill="1" applyBorder="1" applyAlignment="1">
      <alignment horizontal="center" vertical="center" wrapText="1"/>
    </xf>
    <xf numFmtId="12" fontId="0" fillId="2" borderId="1" xfId="0" applyNumberFormat="1" applyFill="1" applyBorder="1" applyAlignment="1">
      <alignment horizontal="center" vertical="center"/>
    </xf>
    <xf numFmtId="12" fontId="0" fillId="2" borderId="16" xfId="0" applyNumberFormat="1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 wrapText="1"/>
    </xf>
    <xf numFmtId="12" fontId="0" fillId="2" borderId="18" xfId="0" applyNumberFormat="1" applyFill="1" applyBorder="1" applyAlignment="1">
      <alignment horizontal="center" vertical="center" wrapText="1"/>
    </xf>
    <xf numFmtId="12" fontId="0" fillId="2" borderId="19" xfId="0" applyNumberFormat="1" applyFill="1" applyBorder="1" applyAlignment="1">
      <alignment horizontal="center" vertical="center" wrapText="1"/>
    </xf>
    <xf numFmtId="12" fontId="0" fillId="2" borderId="18" xfId="0" applyNumberFormat="1" applyFill="1" applyBorder="1" applyAlignment="1">
      <alignment horizontal="center" vertical="center"/>
    </xf>
    <xf numFmtId="12" fontId="0" fillId="2" borderId="19" xfId="0" applyNumberFormat="1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3" borderId="13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 wrapText="1"/>
    </xf>
    <xf numFmtId="12" fontId="0" fillId="3" borderId="1" xfId="0" applyNumberFormat="1" applyFill="1" applyBorder="1" applyAlignment="1">
      <alignment horizontal="center" vertical="center"/>
    </xf>
    <xf numFmtId="12" fontId="0" fillId="3" borderId="16" xfId="0" applyNumberFormat="1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/>
    </xf>
    <xf numFmtId="12" fontId="0" fillId="3" borderId="18" xfId="0" applyNumberFormat="1" applyFill="1" applyBorder="1" applyAlignment="1">
      <alignment horizontal="center" vertical="center"/>
    </xf>
    <xf numFmtId="12" fontId="0" fillId="3" borderId="19" xfId="0" applyNumberForma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3" fillId="5" borderId="12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7" borderId="13" xfId="0" applyFill="1" applyBorder="1" applyAlignment="1">
      <alignment horizontal="center" vertical="center" wrapText="1"/>
    </xf>
    <xf numFmtId="0" fontId="0" fillId="7" borderId="14" xfId="0" applyFill="1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 wrapText="1"/>
    </xf>
    <xf numFmtId="12" fontId="0" fillId="7" borderId="1" xfId="0" applyNumberFormat="1" applyFill="1" applyBorder="1" applyAlignment="1">
      <alignment horizontal="center" vertical="center" wrapText="1"/>
    </xf>
    <xf numFmtId="12" fontId="0" fillId="7" borderId="16" xfId="0" applyNumberFormat="1" applyFill="1" applyBorder="1" applyAlignment="1">
      <alignment horizontal="center" vertical="center" wrapText="1"/>
    </xf>
    <xf numFmtId="0" fontId="0" fillId="7" borderId="17" xfId="0" applyFill="1" applyBorder="1" applyAlignment="1">
      <alignment horizontal="center" vertical="center" wrapText="1"/>
    </xf>
    <xf numFmtId="12" fontId="0" fillId="7" borderId="18" xfId="0" applyNumberFormat="1" applyFill="1" applyBorder="1" applyAlignment="1">
      <alignment horizontal="center" vertical="center" wrapText="1"/>
    </xf>
    <xf numFmtId="12" fontId="0" fillId="7" borderId="19" xfId="0" applyNumberFormat="1" applyFill="1" applyBorder="1" applyAlignment="1">
      <alignment horizontal="center" vertical="center" wrapText="1"/>
    </xf>
    <xf numFmtId="0" fontId="0" fillId="7" borderId="29" xfId="0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2" fontId="0" fillId="8" borderId="1" xfId="0" applyNumberFormat="1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left" vertical="center" wrapText="1"/>
    </xf>
    <xf numFmtId="0" fontId="0" fillId="8" borderId="28" xfId="0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/>
    </xf>
    <xf numFmtId="0" fontId="5" fillId="8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2" fontId="0" fillId="0" borderId="1" xfId="0" applyNumberFormat="1" applyBorder="1" applyAlignment="1">
      <alignment horizontal="center" vertical="center"/>
    </xf>
    <xf numFmtId="12" fontId="0" fillId="0" borderId="16" xfId="0" applyNumberForma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2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/>
    </xf>
    <xf numFmtId="12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0" borderId="37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</cellXfs>
  <cellStyles count="1">
    <cellStyle name="Normal" xfId="0" builtinId="0"/>
  </cellStyles>
  <dxfs count="6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361094</xdr:colOff>
      <xdr:row>19</xdr:row>
      <xdr:rowOff>6998</xdr:rowOff>
    </xdr:from>
    <xdr:to>
      <xdr:col>9</xdr:col>
      <xdr:colOff>238449</xdr:colOff>
      <xdr:row>21</xdr:row>
      <xdr:rowOff>108857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B8273F-F0C6-022F-1E7C-96F2E749331E}"/>
            </a:ext>
          </a:extLst>
        </xdr:cNvPr>
        <xdr:cNvSpPr txBox="1"/>
      </xdr:nvSpPr>
      <xdr:spPr>
        <a:xfrm>
          <a:off x="4388808" y="5677937"/>
          <a:ext cx="2324049" cy="6565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5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Body quality is more fundamental, as it determines the vehicle's ability to absorb and redirect crash forces. Without a strong structure, airbags alone cannot ensure safety.</a:t>
          </a:r>
          <a:endParaRPr lang="en-US" sz="950"/>
        </a:p>
      </xdr:txBody>
    </xdr:sp>
    <xdr:clientData/>
  </xdr:twoCellAnchor>
  <xdr:twoCellAnchor>
    <xdr:from>
      <xdr:col>9</xdr:col>
      <xdr:colOff>391733</xdr:colOff>
      <xdr:row>19</xdr:row>
      <xdr:rowOff>5366</xdr:rowOff>
    </xdr:from>
    <xdr:to>
      <xdr:col>13</xdr:col>
      <xdr:colOff>230747</xdr:colOff>
      <xdr:row>22</xdr:row>
      <xdr:rowOff>80493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691F41A-1A47-EA7D-A5F2-DB414FD1F082}"/>
            </a:ext>
          </a:extLst>
        </xdr:cNvPr>
        <xdr:cNvSpPr txBox="1"/>
      </xdr:nvSpPr>
      <xdr:spPr>
        <a:xfrm>
          <a:off x="6863367" y="6224789"/>
          <a:ext cx="2286000" cy="81566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Everyday Drivers</a:t>
          </a:r>
          <a:r>
            <a:rPr lang="en-US" sz="1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Engine capacity is far more relevant. It determines real-world usability (acceleration, fuel efficiency, towing) and aligns with daily needs. Most drivers never approach a car’s max speed.</a:t>
          </a:r>
        </a:p>
        <a:p>
          <a:pPr algn="ctr"/>
          <a:endParaRPr lang="en-US" sz="1000" b="0"/>
        </a:p>
      </xdr:txBody>
    </xdr:sp>
    <xdr:clientData/>
  </xdr:twoCellAnchor>
  <xdr:twoCellAnchor>
    <xdr:from>
      <xdr:col>13</xdr:col>
      <xdr:colOff>413865</xdr:colOff>
      <xdr:row>16</xdr:row>
      <xdr:rowOff>378369</xdr:rowOff>
    </xdr:from>
    <xdr:to>
      <xdr:col>16</xdr:col>
      <xdr:colOff>582792</xdr:colOff>
      <xdr:row>18</xdr:row>
      <xdr:rowOff>304924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477A76A-C7C6-AEB9-A768-9E9578EA006E}"/>
            </a:ext>
          </a:extLst>
        </xdr:cNvPr>
        <xdr:cNvSpPr txBox="1"/>
      </xdr:nvSpPr>
      <xdr:spPr>
        <a:xfrm>
          <a:off x="9496905" y="4960529"/>
          <a:ext cx="1997727" cy="102383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weighs are calculated using the geometric mean method</a:t>
          </a:r>
          <a:endParaRPr lang="en-US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13</xdr:col>
      <xdr:colOff>386080</xdr:colOff>
      <xdr:row>18</xdr:row>
      <xdr:rowOff>274320</xdr:rowOff>
    </xdr:from>
    <xdr:to>
      <xdr:col>17</xdr:col>
      <xdr:colOff>355600</xdr:colOff>
      <xdr:row>19</xdr:row>
      <xdr:rowOff>182880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D5953DED-FF8E-1FAF-8D98-6A3E4B336C3C}"/>
            </a:ext>
          </a:extLst>
        </xdr:cNvPr>
        <xdr:cNvSpPr/>
      </xdr:nvSpPr>
      <xdr:spPr>
        <a:xfrm>
          <a:off x="9469120" y="5953760"/>
          <a:ext cx="2407920" cy="467360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0</xdr:col>
      <xdr:colOff>31101</xdr:colOff>
      <xdr:row>33</xdr:row>
      <xdr:rowOff>7775</xdr:rowOff>
    </xdr:from>
    <xdr:to>
      <xdr:col>6</xdr:col>
      <xdr:colOff>163285</xdr:colOff>
      <xdr:row>42</xdr:row>
      <xdr:rowOff>155510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0D249E0-8A4A-7111-A6F5-0E106169F37A}"/>
            </a:ext>
          </a:extLst>
        </xdr:cNvPr>
        <xdr:cNvSpPr txBox="1"/>
      </xdr:nvSpPr>
      <xdr:spPr>
        <a:xfrm>
          <a:off x="31101" y="10349204"/>
          <a:ext cx="4937449" cy="182724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Cadillac CT5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leads with superior body quality, leveraging luxury-grade materials and precision engineering.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Nissan 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sits in the middle, offering decent build quality but held back by chassis dynamics and noise insulation.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Ford Mustang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trails due to glaring assembly flaws and inconsistent quality control, despite its performance appeal.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buyers prioritizing body quality, the Cadillac CT5 is the clear choice, while the Mustang’s issues make it a risk unless post-purchase adjustments are planned. The Nissan Z remains a viable option for enthusiasts willing to overlook minor refinements for its driving experience.</a:t>
          </a:r>
        </a:p>
        <a:p>
          <a:endParaRPr lang="en-US" sz="1100"/>
        </a:p>
      </xdr:txBody>
    </xdr:sp>
    <xdr:clientData/>
  </xdr:twoCellAnchor>
  <xdr:twoCellAnchor>
    <xdr:from>
      <xdr:col>4</xdr:col>
      <xdr:colOff>25457</xdr:colOff>
      <xdr:row>30</xdr:row>
      <xdr:rowOff>256854</xdr:rowOff>
    </xdr:from>
    <xdr:to>
      <xdr:col>4</xdr:col>
      <xdr:colOff>710629</xdr:colOff>
      <xdr:row>30</xdr:row>
      <xdr:rowOff>485511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B382B79D-67C3-4CBE-A2AB-ADBF1792B5B0}"/>
            </a:ext>
          </a:extLst>
        </xdr:cNvPr>
        <xdr:cNvSpPr/>
      </xdr:nvSpPr>
      <xdr:spPr>
        <a:xfrm>
          <a:off x="3467300" y="9246742"/>
          <a:ext cx="685172" cy="228657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8</xdr:col>
      <xdr:colOff>324255</xdr:colOff>
      <xdr:row>33</xdr:row>
      <xdr:rowOff>8106</xdr:rowOff>
    </xdr:from>
    <xdr:to>
      <xdr:col>13</xdr:col>
      <xdr:colOff>364788</xdr:colOff>
      <xdr:row>42</xdr:row>
      <xdr:rowOff>97277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2497A54-CDB5-E9BD-8B1F-347C1ECDA203}"/>
            </a:ext>
          </a:extLst>
        </xdr:cNvPr>
        <xdr:cNvSpPr txBox="1"/>
      </xdr:nvSpPr>
      <xdr:spPr>
        <a:xfrm>
          <a:off x="6347298" y="11454319"/>
          <a:ext cx="3080426" cy="1767192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Ford Mustang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stands out with standard knee airbags, which the Nissan Z lacks.</a:t>
          </a:r>
        </a:p>
        <a:p>
          <a:pPr algn="l"/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Cadillac CT5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likely offers the most comprehensive airbag system, including curtain and rear-seat protection, aligning with its luxury positioning and high safety ratings.</a:t>
          </a:r>
        </a:p>
        <a:p>
          <a:pPr algn="l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While the 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Nissan 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meets basic safety standards, it trails in advanced airbag coverage compared to the other two.</a:t>
          </a:r>
        </a:p>
        <a:p>
          <a:pPr algn="l"/>
          <a:endParaRPr lang="en-US" sz="1100"/>
        </a:p>
      </xdr:txBody>
    </xdr:sp>
    <xdr:clientData/>
  </xdr:twoCellAnchor>
  <xdr:twoCellAnchor>
    <xdr:from>
      <xdr:col>13</xdr:col>
      <xdr:colOff>8965</xdr:colOff>
      <xdr:row>30</xdr:row>
      <xdr:rowOff>367553</xdr:rowOff>
    </xdr:from>
    <xdr:to>
      <xdr:col>13</xdr:col>
      <xdr:colOff>582706</xdr:colOff>
      <xdr:row>30</xdr:row>
      <xdr:rowOff>596210</xdr:rowOff>
    </xdr:to>
    <xdr:sp macro="" textlink="">
      <xdr:nvSpPr>
        <xdr:cNvPr id="12" name="Arrow: Right 11">
          <a:extLst>
            <a:ext uri="{FF2B5EF4-FFF2-40B4-BE49-F238E27FC236}">
              <a16:creationId xmlns:a16="http://schemas.microsoft.com/office/drawing/2014/main" id="{4961E645-3567-45F3-BB62-AE2D6B61590E}"/>
            </a:ext>
          </a:extLst>
        </xdr:cNvPr>
        <xdr:cNvSpPr/>
      </xdr:nvSpPr>
      <xdr:spPr>
        <a:xfrm>
          <a:off x="9099177" y="9735671"/>
          <a:ext cx="573741" cy="228657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16</xdr:col>
      <xdr:colOff>102974</xdr:colOff>
      <xdr:row>30</xdr:row>
      <xdr:rowOff>503834</xdr:rowOff>
    </xdr:from>
    <xdr:to>
      <xdr:col>20</xdr:col>
      <xdr:colOff>370704</xdr:colOff>
      <xdr:row>31</xdr:row>
      <xdr:rowOff>543797</xdr:rowOff>
    </xdr:to>
    <xdr:sp macro="" textlink="">
      <xdr:nvSpPr>
        <xdr:cNvPr id="14" name="Arrow: Right 13">
          <a:extLst>
            <a:ext uri="{FF2B5EF4-FFF2-40B4-BE49-F238E27FC236}">
              <a16:creationId xmlns:a16="http://schemas.microsoft.com/office/drawing/2014/main" id="{D226570E-8BA2-4C85-B941-C2C22BDE953D}"/>
            </a:ext>
          </a:extLst>
        </xdr:cNvPr>
        <xdr:cNvSpPr/>
      </xdr:nvSpPr>
      <xdr:spPr>
        <a:xfrm>
          <a:off x="11569260" y="9375691"/>
          <a:ext cx="2880301" cy="965249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15</xdr:col>
      <xdr:colOff>490212</xdr:colOff>
      <xdr:row>34</xdr:row>
      <xdr:rowOff>167870</xdr:rowOff>
    </xdr:from>
    <xdr:to>
      <xdr:col>21</xdr:col>
      <xdr:colOff>63685</xdr:colOff>
      <xdr:row>40</xdr:row>
      <xdr:rowOff>150008</xdr:rowOff>
    </xdr:to>
    <xdr:sp macro="" textlink="">
      <xdr:nvSpPr>
        <xdr:cNvPr id="15" name="Arrow: Right 14">
          <a:extLst>
            <a:ext uri="{FF2B5EF4-FFF2-40B4-BE49-F238E27FC236}">
              <a16:creationId xmlns:a16="http://schemas.microsoft.com/office/drawing/2014/main" id="{2F9E6EE1-618E-4BB0-BCAC-0C28B1E7939F}"/>
            </a:ext>
          </a:extLst>
        </xdr:cNvPr>
        <xdr:cNvSpPr/>
      </xdr:nvSpPr>
      <xdr:spPr>
        <a:xfrm rot="19365848">
          <a:off x="11339641" y="11253156"/>
          <a:ext cx="3410687" cy="1070709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35</xdr:col>
      <xdr:colOff>593786</xdr:colOff>
      <xdr:row>21</xdr:row>
      <xdr:rowOff>338030</xdr:rowOff>
    </xdr:from>
    <xdr:to>
      <xdr:col>36</xdr:col>
      <xdr:colOff>590121</xdr:colOff>
      <xdr:row>23</xdr:row>
      <xdr:rowOff>130739</xdr:rowOff>
    </xdr:to>
    <xdr:sp macro="" textlink="">
      <xdr:nvSpPr>
        <xdr:cNvPr id="16" name="Multiplication Sign 15">
          <a:extLst>
            <a:ext uri="{FF2B5EF4-FFF2-40B4-BE49-F238E27FC236}">
              <a16:creationId xmlns:a16="http://schemas.microsoft.com/office/drawing/2014/main" id="{13E6C7F5-CD90-C0D8-2612-21CB20A0E8A8}"/>
            </a:ext>
          </a:extLst>
        </xdr:cNvPr>
        <xdr:cNvSpPr/>
      </xdr:nvSpPr>
      <xdr:spPr>
        <a:xfrm>
          <a:off x="23791816" y="6817895"/>
          <a:ext cx="603643" cy="743776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562913</xdr:colOff>
      <xdr:row>21</xdr:row>
      <xdr:rowOff>441158</xdr:rowOff>
    </xdr:from>
    <xdr:to>
      <xdr:col>39</xdr:col>
      <xdr:colOff>17189</xdr:colOff>
      <xdr:row>22</xdr:row>
      <xdr:rowOff>295495</xdr:rowOff>
    </xdr:to>
    <xdr:sp macro="" textlink="">
      <xdr:nvSpPr>
        <xdr:cNvPr id="17" name="Equals 16">
          <a:extLst>
            <a:ext uri="{FF2B5EF4-FFF2-40B4-BE49-F238E27FC236}">
              <a16:creationId xmlns:a16="http://schemas.microsoft.com/office/drawing/2014/main" id="{B6C423D8-1957-7945-11A0-D5CC6A2C9CA7}"/>
            </a:ext>
          </a:extLst>
        </xdr:cNvPr>
        <xdr:cNvSpPr/>
      </xdr:nvSpPr>
      <xdr:spPr>
        <a:xfrm>
          <a:off x="24975560" y="6921023"/>
          <a:ext cx="668892" cy="484562"/>
        </a:xfrm>
        <a:prstGeom prst="mathEqual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38</xdr:col>
      <xdr:colOff>77931</xdr:colOff>
      <xdr:row>17</xdr:row>
      <xdr:rowOff>528205</xdr:rowOff>
    </xdr:from>
    <xdr:to>
      <xdr:col>41</xdr:col>
      <xdr:colOff>588819</xdr:colOff>
      <xdr:row>20</xdr:row>
      <xdr:rowOff>320386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7B00135-A128-96A9-0A1E-2B7B6A6BC2EA}"/>
            </a:ext>
          </a:extLst>
        </xdr:cNvPr>
        <xdr:cNvSpPr txBox="1"/>
      </xdr:nvSpPr>
      <xdr:spPr>
        <a:xfrm>
          <a:off x="25085386" y="5481205"/>
          <a:ext cx="3073978" cy="91786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/>
            <a:t>we</a:t>
          </a:r>
          <a:r>
            <a:rPr lang="en-US" sz="1600" baseline="0"/>
            <a:t> see that </a:t>
          </a:r>
          <a:r>
            <a:rPr lang="en-US" sz="1600" b="1" baseline="0"/>
            <a:t>Cadillac CT5 V</a:t>
          </a:r>
          <a:r>
            <a:rPr lang="en-US" sz="1600" baseline="0"/>
            <a:t> has the highest score and is perffered over other options</a:t>
          </a:r>
          <a:endParaRPr lang="en-US" sz="1600"/>
        </a:p>
      </xdr:txBody>
    </xdr:sp>
    <xdr:clientData/>
  </xdr:twoCellAnchor>
  <xdr:twoCellAnchor>
    <xdr:from>
      <xdr:col>2</xdr:col>
      <xdr:colOff>34636</xdr:colOff>
      <xdr:row>3</xdr:row>
      <xdr:rowOff>23091</xdr:rowOff>
    </xdr:from>
    <xdr:to>
      <xdr:col>7</xdr:col>
      <xdr:colOff>461818</xdr:colOff>
      <xdr:row>7</xdr:row>
      <xdr:rowOff>173181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A0D980D-874D-5B34-21E4-8C1881A01804}"/>
            </a:ext>
          </a:extLst>
        </xdr:cNvPr>
        <xdr:cNvSpPr txBox="1"/>
      </xdr:nvSpPr>
      <xdr:spPr>
        <a:xfrm>
          <a:off x="2043545" y="577273"/>
          <a:ext cx="4237182" cy="1212272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/>
            <a:t>quantitative</a:t>
          </a:r>
          <a:r>
            <a:rPr lang="en-US" sz="1600" baseline="0"/>
            <a:t> criterias are assessed using the real data in the below table and not PCM matrixes.</a:t>
          </a:r>
        </a:p>
      </xdr:txBody>
    </xdr:sp>
    <xdr:clientData/>
  </xdr:twoCellAnchor>
  <xdr:twoCellAnchor>
    <xdr:from>
      <xdr:col>10</xdr:col>
      <xdr:colOff>11906</xdr:colOff>
      <xdr:row>3</xdr:row>
      <xdr:rowOff>11907</xdr:rowOff>
    </xdr:from>
    <xdr:to>
      <xdr:col>16</xdr:col>
      <xdr:colOff>464344</xdr:colOff>
      <xdr:row>8</xdr:row>
      <xdr:rowOff>11907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00068F7-423D-A523-F4D9-2514F276532F}"/>
            </a:ext>
          </a:extLst>
        </xdr:cNvPr>
        <xdr:cNvSpPr txBox="1"/>
      </xdr:nvSpPr>
      <xdr:spPr>
        <a:xfrm>
          <a:off x="7631906" y="547688"/>
          <a:ext cx="4321969" cy="12382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for this question, after</a:t>
          </a:r>
          <a:r>
            <a:rPr lang="en-US" sz="1400" baseline="0"/>
            <a:t> installing expert choise, i was confronted with a bug and couldn't get the app to work properly.</a:t>
          </a:r>
        </a:p>
        <a:p>
          <a:r>
            <a:rPr lang="en-US" sz="1400" baseline="0"/>
            <a:t>i will ask TA and upload the file later on.</a:t>
          </a:r>
          <a:endParaRPr lang="en-US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19210</xdr:colOff>
      <xdr:row>0</xdr:row>
      <xdr:rowOff>6404</xdr:rowOff>
    </xdr:from>
    <xdr:to>
      <xdr:col>10</xdr:col>
      <xdr:colOff>12807</xdr:colOff>
      <xdr:row>3</xdr:row>
      <xdr:rowOff>163794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8A28A0A-32AE-213F-9B1C-194B1F30016B}"/>
            </a:ext>
          </a:extLst>
        </xdr:cNvPr>
        <xdr:cNvSpPr txBox="1"/>
      </xdr:nvSpPr>
      <xdr:spPr>
        <a:xfrm>
          <a:off x="19210" y="6404"/>
          <a:ext cx="8033765" cy="7128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for this part, we have </a:t>
          </a:r>
          <a:r>
            <a:rPr lang="en-US" sz="1400" u="sng"/>
            <a:t>2 clusters</a:t>
          </a:r>
          <a:r>
            <a:rPr lang="en-US" sz="1400"/>
            <a:t>(note that we don't</a:t>
          </a:r>
          <a:r>
            <a:rPr lang="en-US" sz="1400" baseline="0"/>
            <a:t> account for the objective cluster</a:t>
          </a:r>
          <a:r>
            <a:rPr lang="en-US" sz="1400"/>
            <a:t>):</a:t>
          </a:r>
          <a:r>
            <a:rPr lang="en-US" sz="1400" baseline="0"/>
            <a:t> </a:t>
          </a:r>
          <a:r>
            <a:rPr lang="en-US" sz="1400" baseline="0">
              <a:solidFill>
                <a:srgbClr val="FF0000"/>
              </a:solidFill>
            </a:rPr>
            <a:t>cluster 1(main criterias)</a:t>
          </a:r>
          <a:r>
            <a:rPr lang="en-US" sz="1400" baseline="0"/>
            <a:t> , </a:t>
          </a:r>
          <a:r>
            <a:rPr lang="en-US" sz="1400" baseline="0">
              <a:solidFill>
                <a:srgbClr val="FF0000"/>
              </a:solidFill>
            </a:rPr>
            <a:t>cluster 2(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options or in this case cars</a:t>
          </a:r>
          <a:r>
            <a:rPr lang="en-US" sz="1400" baseline="0">
              <a:solidFill>
                <a:srgbClr val="FF0000"/>
              </a:solidFill>
            </a:rPr>
            <a:t>).</a:t>
          </a:r>
          <a:endParaRPr lang="en-US" sz="14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21771</xdr:colOff>
      <xdr:row>41</xdr:row>
      <xdr:rowOff>21772</xdr:rowOff>
    </xdr:from>
    <xdr:to>
      <xdr:col>6</xdr:col>
      <xdr:colOff>0</xdr:colOff>
      <xdr:row>46</xdr:row>
      <xdr:rowOff>21771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94E9E83-ED20-3D34-116D-DB8420B3A6E8}"/>
            </a:ext>
          </a:extLst>
        </xdr:cNvPr>
        <xdr:cNvSpPr txBox="1"/>
      </xdr:nvSpPr>
      <xdr:spPr>
        <a:xfrm>
          <a:off x="21771" y="10297886"/>
          <a:ext cx="4604658" cy="9252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/>
            <a:t>in order</a:t>
          </a:r>
          <a:r>
            <a:rPr lang="en-US" sz="1300" baseline="0"/>
            <a:t> to form WSM, we need to determine:</a:t>
          </a:r>
        </a:p>
        <a:p>
          <a:r>
            <a:rPr lang="en-US" sz="1300"/>
            <a:t>Effect of cluster number 3 on cluster number 1</a:t>
          </a:r>
        </a:p>
        <a:p>
          <a:r>
            <a:rPr lang="en-US" sz="1300"/>
            <a:t>Effect of cluster number 1 on cluster number 2</a:t>
          </a:r>
        </a:p>
        <a:p>
          <a:r>
            <a:rPr lang="en-US" sz="1300"/>
            <a:t>Effect of cluster number 1 and 2 on cluster number 3</a:t>
          </a:r>
        </a:p>
      </xdr:txBody>
    </xdr:sp>
    <xdr:clientData/>
  </xdr:twoCellAnchor>
  <xdr:twoCellAnchor>
    <xdr:from>
      <xdr:col>4</xdr:col>
      <xdr:colOff>27214</xdr:colOff>
      <xdr:row>51</xdr:row>
      <xdr:rowOff>90715</xdr:rowOff>
    </xdr:from>
    <xdr:to>
      <xdr:col>4</xdr:col>
      <xdr:colOff>590055</xdr:colOff>
      <xdr:row>52</xdr:row>
      <xdr:rowOff>37523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78DB298F-6876-4456-AB4B-3A9C67C607D6}"/>
            </a:ext>
          </a:extLst>
        </xdr:cNvPr>
        <xdr:cNvSpPr/>
      </xdr:nvSpPr>
      <xdr:spPr>
        <a:xfrm>
          <a:off x="3202214" y="12092215"/>
          <a:ext cx="562841" cy="173594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59531</xdr:colOff>
      <xdr:row>51</xdr:row>
      <xdr:rowOff>107724</xdr:rowOff>
    </xdr:from>
    <xdr:to>
      <xdr:col>13</xdr:col>
      <xdr:colOff>797719</xdr:colOff>
      <xdr:row>55</xdr:row>
      <xdr:rowOff>142875</xdr:rowOff>
    </xdr:to>
    <xdr:sp macro="" textlink="">
      <xdr:nvSpPr>
        <xdr:cNvPr id="7" name="Multiplication Sign 6">
          <a:extLst>
            <a:ext uri="{FF2B5EF4-FFF2-40B4-BE49-F238E27FC236}">
              <a16:creationId xmlns:a16="http://schemas.microsoft.com/office/drawing/2014/main" id="{17BE7FA2-2D24-BB19-FF88-C097FAD54F66}"/>
            </a:ext>
          </a:extLst>
        </xdr:cNvPr>
        <xdr:cNvSpPr/>
      </xdr:nvSpPr>
      <xdr:spPr>
        <a:xfrm>
          <a:off x="10691812" y="12049693"/>
          <a:ext cx="738188" cy="880495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5532</xdr:colOff>
      <xdr:row>52</xdr:row>
      <xdr:rowOff>123312</xdr:rowOff>
    </xdr:from>
    <xdr:to>
      <xdr:col>24</xdr:col>
      <xdr:colOff>106002</xdr:colOff>
      <xdr:row>54</xdr:row>
      <xdr:rowOff>112426</xdr:rowOff>
    </xdr:to>
    <xdr:sp macro="" textlink="">
      <xdr:nvSpPr>
        <xdr:cNvPr id="8" name="Equals 7">
          <a:extLst>
            <a:ext uri="{FF2B5EF4-FFF2-40B4-BE49-F238E27FC236}">
              <a16:creationId xmlns:a16="http://schemas.microsoft.com/office/drawing/2014/main" id="{A56EF16E-F801-9457-3664-56B1ECED7A6D}"/>
            </a:ext>
          </a:extLst>
        </xdr:cNvPr>
        <xdr:cNvSpPr/>
      </xdr:nvSpPr>
      <xdr:spPr>
        <a:xfrm>
          <a:off x="17906286" y="12677574"/>
          <a:ext cx="712568" cy="413836"/>
        </a:xfrm>
        <a:prstGeom prst="mathEqual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39</xdr:col>
      <xdr:colOff>67292</xdr:colOff>
      <xdr:row>89</xdr:row>
      <xdr:rowOff>42551</xdr:rowOff>
    </xdr:from>
    <xdr:to>
      <xdr:col>40</xdr:col>
      <xdr:colOff>451261</xdr:colOff>
      <xdr:row>91</xdr:row>
      <xdr:rowOff>49481</xdr:rowOff>
    </xdr:to>
    <xdr:sp macro="" textlink="">
      <xdr:nvSpPr>
        <xdr:cNvPr id="9" name="Arrow: Left 8">
          <a:extLst>
            <a:ext uri="{FF2B5EF4-FFF2-40B4-BE49-F238E27FC236}">
              <a16:creationId xmlns:a16="http://schemas.microsoft.com/office/drawing/2014/main" id="{30F92992-F336-A9B5-54D0-926B42B6F437}"/>
            </a:ext>
          </a:extLst>
        </xdr:cNvPr>
        <xdr:cNvSpPr/>
      </xdr:nvSpPr>
      <xdr:spPr>
        <a:xfrm>
          <a:off x="30024778" y="18831294"/>
          <a:ext cx="2278083" cy="38793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199869</xdr:colOff>
      <xdr:row>51</xdr:row>
      <xdr:rowOff>112427</xdr:rowOff>
    </xdr:from>
    <xdr:to>
      <xdr:col>39</xdr:col>
      <xdr:colOff>690648</xdr:colOff>
      <xdr:row>54</xdr:row>
      <xdr:rowOff>128306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672E92D6-8A10-4F31-CFAA-9EBAA6A86AF0}"/>
            </a:ext>
          </a:extLst>
        </xdr:cNvPr>
        <xdr:cNvSpPr/>
      </xdr:nvSpPr>
      <xdr:spPr>
        <a:xfrm>
          <a:off x="28119049" y="12441837"/>
          <a:ext cx="2439501" cy="665453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chemeClr val="bg1"/>
              </a:solidFill>
            </a:rPr>
            <a:t>POWER</a:t>
          </a:r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22</xdr:col>
      <xdr:colOff>566352</xdr:colOff>
      <xdr:row>87</xdr:row>
      <xdr:rowOff>14804</xdr:rowOff>
    </xdr:from>
    <xdr:to>
      <xdr:col>29</xdr:col>
      <xdr:colOff>547754</xdr:colOff>
      <xdr:row>93</xdr:row>
      <xdr:rowOff>185352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D157AE3-9A97-55DA-347E-862C174976CB}"/>
            </a:ext>
          </a:extLst>
        </xdr:cNvPr>
        <xdr:cNvSpPr txBox="1"/>
      </xdr:nvSpPr>
      <xdr:spPr>
        <a:xfrm>
          <a:off x="17814325" y="18436669"/>
          <a:ext cx="4234186" cy="129295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WE HAVE THE SAME RESULT AS SUPERDECISION</a:t>
          </a:r>
          <a:r>
            <a:rPr lang="en-US" sz="1600" b="1" baseline="0"/>
            <a:t> AND NISSAN Z NISMO WINS BY A SLIGHT MARGIN</a:t>
          </a:r>
          <a:endParaRPr lang="en-US" sz="1600" b="1"/>
        </a:p>
      </xdr:txBody>
    </xdr:sp>
    <xdr:clientData/>
  </xdr:twoCellAnchor>
  <xdr:twoCellAnchor editAs="oneCell">
    <xdr:from>
      <xdr:col>30</xdr:col>
      <xdr:colOff>67301</xdr:colOff>
      <xdr:row>71</xdr:row>
      <xdr:rowOff>16917</xdr:rowOff>
    </xdr:from>
    <xdr:to>
      <xdr:col>38</xdr:col>
      <xdr:colOff>1030585</xdr:colOff>
      <xdr:row>82</xdr:row>
      <xdr:rowOff>133865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4D88B54-FD4E-0FEE-E02D-3EF7DDDFB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75598" y="15442268"/>
          <a:ext cx="8500906" cy="2155813"/>
        </a:xfrm>
        <a:prstGeom prst="rect">
          <a:avLst/>
        </a:prstGeom>
      </xdr:spPr>
    </xdr:pic>
    <xdr:clientData/>
  </xdr:twoCellAnchor>
  <xdr:twoCellAnchor editAs="oneCell">
    <xdr:from>
      <xdr:col>10</xdr:col>
      <xdr:colOff>419110</xdr:colOff>
      <xdr:row>3</xdr:row>
      <xdr:rowOff>108897</xdr:rowOff>
    </xdr:from>
    <xdr:to>
      <xdr:col>21</xdr:col>
      <xdr:colOff>575258</xdr:colOff>
      <xdr:row>13</xdr:row>
      <xdr:rowOff>38808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7BB331-0F86-38FD-D173-C983F7E23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33300" y="653183"/>
          <a:ext cx="7872910" cy="196191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259906-7199-4D77-B52E-B0B3B9CBDE41}" name="Table1" displayName="Table1" ref="A4:B8" totalsRowShown="0" headerRowDxfId="5" headerRowBorderDxfId="4" tableBorderDxfId="3" totalsRowBorderDxfId="2">
  <autoFilter ref="A4:B8" xr:uid="{FE259906-7199-4D77-B52E-B0B3B9CBDE41}"/>
  <tableColumns count="2">
    <tableColumn id="1" xr3:uid="{1AC024DD-ED85-4947-AB82-680AC1FE7FB5}" name="Quantitative criterias" dataDxfId="1"/>
    <tableColumn id="2" xr3:uid="{E99B826D-9BA0-4C38-853A-D0CF1029307C}" name="Qualitative criteri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EC0E7-D374-4BB0-9D97-807CB5C2E6B9}">
  <dimension ref="A1:AP49"/>
  <sheetViews>
    <sheetView tabSelected="1" zoomScale="68" zoomScaleNormal="59" workbookViewId="0">
      <selection activeCell="F11" sqref="F11"/>
    </sheetView>
  </sheetViews>
  <sheetFormatPr defaultRowHeight="14.4" x14ac:dyDescent="0.3"/>
  <cols>
    <col min="1" max="1" width="14.109375" style="1" customWidth="1"/>
    <col min="2" max="2" width="15.109375" style="1" customWidth="1"/>
    <col min="3" max="3" width="11.5546875" style="1" bestFit="1" customWidth="1"/>
    <col min="4" max="4" width="12.21875" style="1" bestFit="1" customWidth="1"/>
    <col min="5" max="5" width="11.109375" style="1" customWidth="1"/>
    <col min="6" max="6" width="8.88671875" style="1"/>
    <col min="7" max="7" width="11.5546875" style="1" bestFit="1" customWidth="1"/>
    <col min="8" max="10" width="8.88671875" style="1"/>
    <col min="11" max="11" width="11.5546875" style="1" bestFit="1" customWidth="1"/>
    <col min="12" max="13" width="9" style="1" bestFit="1" customWidth="1"/>
    <col min="14" max="15" width="8.88671875" style="1"/>
    <col min="16" max="16" width="9" style="1" bestFit="1" customWidth="1"/>
    <col min="17" max="18" width="8.88671875" style="1"/>
    <col min="19" max="19" width="11.5546875" style="1" customWidth="1"/>
    <col min="20" max="39" width="8.88671875" style="1"/>
    <col min="40" max="40" width="19.6640625" style="1" customWidth="1"/>
    <col min="41" max="16384" width="8.88671875" style="1"/>
  </cols>
  <sheetData>
    <row r="1" spans="1:21" ht="21" x14ac:dyDescent="0.3">
      <c r="A1" s="156" t="s">
        <v>0</v>
      </c>
    </row>
    <row r="2" spans="1:21" ht="21" x14ac:dyDescent="0.3">
      <c r="A2" s="156"/>
    </row>
    <row r="4" spans="1:21" s="99" customFormat="1" ht="35.4" customHeight="1" x14ac:dyDescent="0.3">
      <c r="A4" s="15" t="s">
        <v>11</v>
      </c>
      <c r="B4" s="16" t="s">
        <v>12</v>
      </c>
    </row>
    <row r="5" spans="1:21" ht="16.8" customHeight="1" x14ac:dyDescent="0.3">
      <c r="A5" s="13" t="s">
        <v>4</v>
      </c>
      <c r="B5" s="14" t="s">
        <v>13</v>
      </c>
    </row>
    <row r="6" spans="1:21" ht="25.2" customHeight="1" x14ac:dyDescent="0.3">
      <c r="A6" s="13" t="s">
        <v>8</v>
      </c>
      <c r="B6" s="14" t="s">
        <v>14</v>
      </c>
    </row>
    <row r="7" spans="1:21" x14ac:dyDescent="0.3">
      <c r="A7" s="13" t="s">
        <v>9</v>
      </c>
      <c r="B7" s="14"/>
    </row>
    <row r="8" spans="1:21" x14ac:dyDescent="0.3">
      <c r="A8" s="17" t="s">
        <v>10</v>
      </c>
      <c r="B8" s="18"/>
    </row>
    <row r="10" spans="1:21" ht="15" thickBot="1" x14ac:dyDescent="0.35">
      <c r="C10" s="1" t="s">
        <v>102</v>
      </c>
    </row>
    <row r="11" spans="1:21" ht="43.2" x14ac:dyDescent="0.3">
      <c r="A11" s="3" t="s">
        <v>1</v>
      </c>
      <c r="B11" s="7" t="s">
        <v>4</v>
      </c>
      <c r="C11" s="7" t="s">
        <v>8</v>
      </c>
      <c r="D11" s="7" t="s">
        <v>9</v>
      </c>
      <c r="E11" s="6" t="s">
        <v>10</v>
      </c>
    </row>
    <row r="12" spans="1:21" ht="43.2" x14ac:dyDescent="0.3">
      <c r="A12" s="4" t="s">
        <v>3</v>
      </c>
      <c r="B12" s="8">
        <v>42860</v>
      </c>
      <c r="C12" s="2">
        <v>16</v>
      </c>
      <c r="D12" s="2">
        <v>155</v>
      </c>
      <c r="E12" s="9">
        <v>5</v>
      </c>
    </row>
    <row r="13" spans="1:21" ht="28.8" x14ac:dyDescent="0.3">
      <c r="A13" s="4" t="s">
        <v>2</v>
      </c>
      <c r="B13" s="8">
        <v>65750</v>
      </c>
      <c r="C13" s="2">
        <v>19</v>
      </c>
      <c r="D13" s="2">
        <v>190</v>
      </c>
      <c r="E13" s="9">
        <v>3</v>
      </c>
    </row>
    <row r="14" spans="1:21" ht="29.4" thickBot="1" x14ac:dyDescent="0.35">
      <c r="A14" s="5" t="s">
        <v>38</v>
      </c>
      <c r="B14" s="10">
        <v>56995</v>
      </c>
      <c r="C14" s="11">
        <v>21</v>
      </c>
      <c r="D14" s="11">
        <v>156</v>
      </c>
      <c r="E14" s="12">
        <v>3</v>
      </c>
    </row>
    <row r="16" spans="1:21" ht="18.600000000000001" thickBot="1" x14ac:dyDescent="0.35">
      <c r="A16" s="19"/>
      <c r="B16" s="37" t="s">
        <v>32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</row>
    <row r="17" spans="1:42" ht="43.2" x14ac:dyDescent="0.3">
      <c r="A17" s="20" t="s">
        <v>15</v>
      </c>
      <c r="B17" s="21" t="s">
        <v>4</v>
      </c>
      <c r="C17" s="21" t="s">
        <v>16</v>
      </c>
      <c r="D17" s="21" t="s">
        <v>19</v>
      </c>
      <c r="E17" s="22" t="s">
        <v>17</v>
      </c>
      <c r="F17" s="19"/>
      <c r="G17" s="20" t="s">
        <v>16</v>
      </c>
      <c r="H17" s="21" t="s">
        <v>13</v>
      </c>
      <c r="I17" s="22" t="s">
        <v>14</v>
      </c>
      <c r="J17" s="19"/>
      <c r="K17" s="20" t="s">
        <v>17</v>
      </c>
      <c r="L17" s="21" t="s">
        <v>9</v>
      </c>
      <c r="M17" s="22" t="s">
        <v>10</v>
      </c>
      <c r="N17" s="19"/>
      <c r="O17" s="19"/>
      <c r="P17" s="19"/>
      <c r="Q17" s="19"/>
      <c r="R17" s="19"/>
      <c r="S17" s="51" t="s">
        <v>18</v>
      </c>
      <c r="T17" s="52">
        <f>C23</f>
        <v>0.11738465300394262</v>
      </c>
      <c r="U17" s="19"/>
    </row>
    <row r="18" spans="1:42" ht="43.2" x14ac:dyDescent="0.3">
      <c r="A18" s="23" t="s">
        <v>4</v>
      </c>
      <c r="B18" s="24">
        <v>1</v>
      </c>
      <c r="C18" s="24">
        <f>1/B19</f>
        <v>0.14285714285714285</v>
      </c>
      <c r="D18" s="24">
        <v>5</v>
      </c>
      <c r="E18" s="25">
        <f>1/B21</f>
        <v>0.33333333333333331</v>
      </c>
      <c r="F18" s="19"/>
      <c r="G18" s="23" t="s">
        <v>13</v>
      </c>
      <c r="H18" s="24">
        <v>1</v>
      </c>
      <c r="I18" s="25">
        <v>5</v>
      </c>
      <c r="J18" s="19"/>
      <c r="K18" s="23" t="s">
        <v>9</v>
      </c>
      <c r="L18" s="26">
        <v>1</v>
      </c>
      <c r="M18" s="27">
        <f>1/L19</f>
        <v>0.14285714285714285</v>
      </c>
      <c r="N18" s="19"/>
      <c r="O18" s="19"/>
      <c r="P18" s="19"/>
      <c r="Q18" s="19"/>
      <c r="R18" s="19"/>
      <c r="S18" s="53" t="s">
        <v>23</v>
      </c>
      <c r="T18" s="54">
        <f>H23*C24</f>
        <v>0.42232862797903875</v>
      </c>
      <c r="U18" s="19"/>
    </row>
    <row r="19" spans="1:42" ht="29.4" thickBot="1" x14ac:dyDescent="0.35">
      <c r="A19" s="23" t="s">
        <v>16</v>
      </c>
      <c r="B19" s="24">
        <v>7</v>
      </c>
      <c r="C19" s="24">
        <v>1</v>
      </c>
      <c r="D19" s="24">
        <v>5</v>
      </c>
      <c r="E19" s="25">
        <v>5</v>
      </c>
      <c r="F19" s="19"/>
      <c r="G19" s="28" t="s">
        <v>14</v>
      </c>
      <c r="H19" s="29">
        <f>1/I18</f>
        <v>0.2</v>
      </c>
      <c r="I19" s="30">
        <v>1</v>
      </c>
      <c r="J19" s="19"/>
      <c r="K19" s="28" t="s">
        <v>10</v>
      </c>
      <c r="L19" s="31">
        <v>7</v>
      </c>
      <c r="M19" s="32">
        <v>1</v>
      </c>
      <c r="N19" s="19"/>
      <c r="O19" s="19"/>
      <c r="P19" s="19"/>
      <c r="Q19" s="19"/>
      <c r="R19" s="19"/>
      <c r="S19" s="53" t="s">
        <v>24</v>
      </c>
      <c r="T19" s="54">
        <f>H24*C24</f>
        <v>0.18887110420107006</v>
      </c>
      <c r="U19" s="19"/>
      <c r="AE19" s="80" t="s">
        <v>34</v>
      </c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</row>
    <row r="20" spans="1:42" ht="16.2" thickBot="1" x14ac:dyDescent="0.35">
      <c r="A20" s="23" t="s">
        <v>19</v>
      </c>
      <c r="B20" s="24">
        <f>1/D18</f>
        <v>0.2</v>
      </c>
      <c r="C20" s="24">
        <f>1/D19</f>
        <v>0.2</v>
      </c>
      <c r="D20" s="24">
        <v>1</v>
      </c>
      <c r="E20" s="25">
        <f>1/D21</f>
        <v>0.2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55" t="s">
        <v>21</v>
      </c>
      <c r="T20" s="54">
        <f>C25</f>
        <v>5.025695130796743E-2</v>
      </c>
      <c r="U20" s="19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</row>
    <row r="21" spans="1:42" ht="29.4" thickBot="1" x14ac:dyDescent="0.35">
      <c r="A21" s="28" t="s">
        <v>17</v>
      </c>
      <c r="B21" s="29">
        <v>3</v>
      </c>
      <c r="C21" s="29">
        <f>1/E19</f>
        <v>0.2</v>
      </c>
      <c r="D21" s="29">
        <v>5</v>
      </c>
      <c r="E21" s="30">
        <v>1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53" t="s">
        <v>25</v>
      </c>
      <c r="T21" s="54">
        <f>L24*C26</f>
        <v>6.066202673692541E-2</v>
      </c>
      <c r="U21" s="19"/>
      <c r="AE21" s="81"/>
      <c r="AF21" s="81"/>
      <c r="AG21" s="81"/>
      <c r="AH21" s="81"/>
      <c r="AI21" s="81"/>
      <c r="AJ21" s="81"/>
      <c r="AK21" s="81"/>
      <c r="AL21" s="77">
        <f t="shared" ref="AL21:AL26" si="0">T17</f>
        <v>0.11738465300394262</v>
      </c>
      <c r="AM21" s="81"/>
      <c r="AN21" s="81"/>
      <c r="AO21" s="81"/>
      <c r="AP21" s="81"/>
    </row>
    <row r="22" spans="1:42" ht="49.8" thickBot="1" x14ac:dyDescent="0.3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56" t="s">
        <v>26</v>
      </c>
      <c r="T22" s="57">
        <f>L25*C26</f>
        <v>0.16049663677105566</v>
      </c>
      <c r="U22" s="19"/>
      <c r="AE22" s="68">
        <f t="shared" ref="AE22:AJ24" si="1">W31</f>
        <v>0.41599779300623801</v>
      </c>
      <c r="AF22" s="69">
        <f t="shared" si="1"/>
        <v>0.14617803599661242</v>
      </c>
      <c r="AG22" s="69">
        <f t="shared" si="1"/>
        <v>0.16854719423553272</v>
      </c>
      <c r="AH22" s="69">
        <f t="shared" si="1"/>
        <v>0.2857142857142857</v>
      </c>
      <c r="AI22" s="69">
        <f t="shared" si="1"/>
        <v>0.30938123752495011</v>
      </c>
      <c r="AJ22" s="70">
        <f t="shared" si="1"/>
        <v>0.45454545454545453</v>
      </c>
      <c r="AK22" s="81"/>
      <c r="AL22" s="78">
        <f t="shared" si="0"/>
        <v>0.42232862797903875</v>
      </c>
      <c r="AM22" s="81"/>
      <c r="AN22" s="82" t="s">
        <v>35</v>
      </c>
      <c r="AO22" s="83">
        <f t="array" ref="AO22:AO24">MMULT(AE22:AJ24,AL21:AL26)</f>
        <v>0.24848045921271172</v>
      </c>
      <c r="AP22" s="81"/>
    </row>
    <row r="23" spans="1:42" ht="25.2" thickBot="1" x14ac:dyDescent="0.35">
      <c r="A23" s="19"/>
      <c r="B23" s="20" t="s">
        <v>18</v>
      </c>
      <c r="C23" s="34">
        <f>(POWER(PRODUCT(B18:E18),0.25)/(POWER(PRODUCT($B$20:$E$20),0.25)+POWER(PRODUCT($B$19:$E$19),0.25)+POWER(PRODUCT($B$21:$E$21),0.25)+POWER(PRODUCT($B$18:$E$18),0.25)))</f>
        <v>0.11738465300394262</v>
      </c>
      <c r="D23" s="19"/>
      <c r="E23" s="19"/>
      <c r="F23" s="19"/>
      <c r="G23" s="35" t="s">
        <v>23</v>
      </c>
      <c r="H23" s="34">
        <f>(POWER(PRODUCT(H18:I18),0.25))/(POWER(PRODUCT($H$19:$I$19),0.25)+POWER(PRODUCT($H$18:$I$18),0.25))</f>
        <v>0.69098300562505255</v>
      </c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AE23" s="71">
        <f t="shared" si="1"/>
        <v>0.27117361837638576</v>
      </c>
      <c r="AF23" s="72">
        <f t="shared" si="1"/>
        <v>0.28767686500719952</v>
      </c>
      <c r="AG23" s="72">
        <f t="shared" si="1"/>
        <v>0.25693304700195263</v>
      </c>
      <c r="AH23" s="72">
        <f t="shared" si="1"/>
        <v>0.3392857142857143</v>
      </c>
      <c r="AI23" s="72">
        <f t="shared" si="1"/>
        <v>0.37924151696606789</v>
      </c>
      <c r="AJ23" s="73">
        <f t="shared" si="1"/>
        <v>0.27272727272727271</v>
      </c>
      <c r="AK23" s="81"/>
      <c r="AL23" s="78">
        <f t="shared" si="0"/>
        <v>0.18887110420107006</v>
      </c>
      <c r="AM23" s="81"/>
      <c r="AN23" s="84" t="s">
        <v>36</v>
      </c>
      <c r="AO23" s="85">
        <v>0.2856818597825051</v>
      </c>
      <c r="AP23" s="81"/>
    </row>
    <row r="24" spans="1:42" ht="25.2" thickBot="1" x14ac:dyDescent="0.35">
      <c r="A24" s="19"/>
      <c r="B24" s="23" t="s">
        <v>22</v>
      </c>
      <c r="C24" s="34">
        <f t="shared" ref="C24:C26" si="2">(POWER(PRODUCT(B19:E19),0.25)/(POWER(PRODUCT($B$20:$E$20),0.25)+POWER(PRODUCT($B$19:$E$19),0.25)+POWER(PRODUCT($B$21:$E$21),0.25)+POWER(PRODUCT($B$18:$E$18),0.25)))</f>
        <v>0.61119973218010881</v>
      </c>
      <c r="D24" s="19"/>
      <c r="E24" s="19"/>
      <c r="F24" s="19"/>
      <c r="G24" s="33" t="s">
        <v>24</v>
      </c>
      <c r="H24" s="34">
        <f>(POWER(PRODUCT(H19:I19),0.25))/(POWER(PRODUCT($H$19:$I$19),0.25)+POWER(PRODUCT($H$18:$I$18),0.25))</f>
        <v>0.30901699437494745</v>
      </c>
      <c r="I24" s="19"/>
      <c r="J24" s="19"/>
      <c r="K24" s="35" t="s">
        <v>25</v>
      </c>
      <c r="L24" s="34">
        <f>(POWER(PRODUCT(L18:M18),0.25))/(POWER(PRODUCT($L$19:$M$19),0.25)+POWER(PRODUCT($L$18:$M$18),0.25))</f>
        <v>0.27429188517743175</v>
      </c>
      <c r="M24" s="19"/>
      <c r="N24" s="19"/>
      <c r="O24" s="19"/>
      <c r="P24" s="19"/>
      <c r="Q24" s="19"/>
      <c r="R24" s="19"/>
      <c r="S24" s="19"/>
      <c r="T24" s="19"/>
      <c r="U24" s="19"/>
      <c r="AE24" s="74">
        <f t="shared" si="1"/>
        <v>0.31282858861737628</v>
      </c>
      <c r="AF24" s="75">
        <f t="shared" si="1"/>
        <v>0.56614509899618815</v>
      </c>
      <c r="AG24" s="75">
        <f t="shared" si="1"/>
        <v>0.5745197587625146</v>
      </c>
      <c r="AH24" s="75">
        <f t="shared" si="1"/>
        <v>0.375</v>
      </c>
      <c r="AI24" s="75">
        <f t="shared" si="1"/>
        <v>0.31137724550898205</v>
      </c>
      <c r="AJ24" s="76">
        <f t="shared" si="1"/>
        <v>0.27272727272727271</v>
      </c>
      <c r="AK24" s="81"/>
      <c r="AL24" s="78">
        <f t="shared" si="0"/>
        <v>5.025695130796743E-2</v>
      </c>
      <c r="AM24" s="81"/>
      <c r="AN24" s="86" t="s">
        <v>37</v>
      </c>
      <c r="AO24" s="87">
        <v>0.46583768100478318</v>
      </c>
      <c r="AP24" s="81"/>
    </row>
    <row r="25" spans="1:42" ht="16.2" thickBot="1" x14ac:dyDescent="0.35">
      <c r="A25" s="19"/>
      <c r="B25" s="23" t="s">
        <v>21</v>
      </c>
      <c r="C25" s="34">
        <f t="shared" si="2"/>
        <v>5.025695130796743E-2</v>
      </c>
      <c r="D25" s="19"/>
      <c r="E25" s="19"/>
      <c r="F25" s="19"/>
      <c r="G25" s="19"/>
      <c r="H25" s="19"/>
      <c r="I25" s="19"/>
      <c r="J25" s="19"/>
      <c r="K25" s="33" t="s">
        <v>26</v>
      </c>
      <c r="L25" s="36">
        <f>(POWER(PRODUCT(L19:M19),0.25))/(POWER(PRODUCT($L$19:$M$19),0.25)+POWER(PRODUCT($L$18:$M$18),0.25))</f>
        <v>0.72570811482256825</v>
      </c>
      <c r="M25" s="19"/>
      <c r="N25" s="19"/>
      <c r="O25" s="19"/>
      <c r="P25" s="19"/>
      <c r="Q25" s="19"/>
      <c r="R25" s="19"/>
      <c r="S25" s="19"/>
      <c r="T25" s="19"/>
      <c r="U25" s="19"/>
      <c r="AE25" s="81"/>
      <c r="AF25" s="81"/>
      <c r="AG25" s="81"/>
      <c r="AH25" s="81"/>
      <c r="AI25" s="81"/>
      <c r="AJ25" s="81"/>
      <c r="AK25" s="81"/>
      <c r="AL25" s="78">
        <f t="shared" si="0"/>
        <v>6.066202673692541E-2</v>
      </c>
      <c r="AM25" s="81"/>
      <c r="AN25" s="81"/>
      <c r="AO25" s="81"/>
      <c r="AP25" s="81"/>
    </row>
    <row r="26" spans="1:42" ht="20.399999999999999" customHeight="1" thickBot="1" x14ac:dyDescent="0.35">
      <c r="A26" s="19"/>
      <c r="B26" s="33" t="s">
        <v>20</v>
      </c>
      <c r="C26" s="34">
        <f t="shared" si="2"/>
        <v>0.22115866350798108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AE26" s="81"/>
      <c r="AF26" s="81"/>
      <c r="AG26" s="81"/>
      <c r="AH26" s="81"/>
      <c r="AI26" s="81"/>
      <c r="AJ26" s="81"/>
      <c r="AK26" s="81"/>
      <c r="AL26" s="79">
        <f t="shared" si="0"/>
        <v>0.16049663677105566</v>
      </c>
      <c r="AM26" s="81"/>
      <c r="AN26" s="81"/>
      <c r="AO26" s="81"/>
      <c r="AP26" s="81"/>
    </row>
    <row r="27" spans="1:42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</row>
    <row r="28" spans="1:42" x14ac:dyDescent="0.3"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</row>
    <row r="29" spans="1:42" ht="18.600000000000001" thickBot="1" x14ac:dyDescent="0.35">
      <c r="A29" s="38"/>
      <c r="B29" s="58" t="s">
        <v>33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</row>
    <row r="30" spans="1:42" ht="43.8" thickBot="1" x14ac:dyDescent="0.35">
      <c r="A30" s="41" t="s">
        <v>13</v>
      </c>
      <c r="B30" s="39" t="s">
        <v>3</v>
      </c>
      <c r="C30" s="39" t="s">
        <v>2</v>
      </c>
      <c r="D30" s="40" t="s">
        <v>7</v>
      </c>
      <c r="E30" s="38"/>
      <c r="F30" s="41" t="s">
        <v>28</v>
      </c>
      <c r="G30" s="42">
        <f>(POWER(PRODUCT(B31:D31),0.25))/(POWER(PRODUCT($B$33:$D$33),0.25)+POWER(PRODUCT($B$32:$D$32),0.25)+POWER(PRODUCT($B$31:$D$31),0.25))</f>
        <v>0.14617803599661242</v>
      </c>
      <c r="H30" s="38"/>
      <c r="I30" s="38"/>
      <c r="J30" s="41" t="s">
        <v>14</v>
      </c>
      <c r="K30" s="39" t="s">
        <v>3</v>
      </c>
      <c r="L30" s="39" t="s">
        <v>2</v>
      </c>
      <c r="M30" s="40" t="s">
        <v>7</v>
      </c>
      <c r="N30" s="38"/>
      <c r="O30" s="41" t="s">
        <v>28</v>
      </c>
      <c r="P30" s="42">
        <f>(POWER(PRODUCT(K31:M31),0.25))/(POWER(PRODUCT($K$33:$M$33),0.25)+POWER(PRODUCT($K$32:$M$32),0.25)+POWER(PRODUCT($K$31:$M$31),0.25))</f>
        <v>0.16854719423553272</v>
      </c>
      <c r="Q30" s="38"/>
      <c r="R30" s="38"/>
      <c r="S30" s="38"/>
      <c r="T30" s="38"/>
      <c r="U30" s="38"/>
      <c r="V30" s="62"/>
      <c r="W30" s="63" t="s">
        <v>4</v>
      </c>
      <c r="X30" s="63" t="s">
        <v>13</v>
      </c>
      <c r="Y30" s="63" t="s">
        <v>14</v>
      </c>
      <c r="Z30" s="63" t="s">
        <v>31</v>
      </c>
      <c r="AA30" s="63" t="s">
        <v>30</v>
      </c>
      <c r="AB30" s="64" t="s">
        <v>6</v>
      </c>
      <c r="AC30" s="38"/>
    </row>
    <row r="31" spans="1:42" ht="72.599999999999994" thickBot="1" x14ac:dyDescent="0.35">
      <c r="A31" s="43" t="s">
        <v>3</v>
      </c>
      <c r="B31" s="44">
        <v>1</v>
      </c>
      <c r="C31" s="44">
        <f>1/B32</f>
        <v>0.33333333333333331</v>
      </c>
      <c r="D31" s="45">
        <f>1/B33</f>
        <v>0.2</v>
      </c>
      <c r="E31" s="38"/>
      <c r="F31" s="43" t="s">
        <v>27</v>
      </c>
      <c r="G31" s="46">
        <f>(POWER(PRODUCT(B32:D32),0.25))/(POWER(PRODUCT($B$33:$D$33),0.25)+POWER(PRODUCT($B$32:$D$32),0.25)+POWER(PRODUCT($B$31:$D$31),0.25))</f>
        <v>0.28767686500719952</v>
      </c>
      <c r="H31" s="38"/>
      <c r="I31" s="38"/>
      <c r="J31" s="43" t="s">
        <v>3</v>
      </c>
      <c r="K31" s="44">
        <v>1</v>
      </c>
      <c r="L31" s="44">
        <f>1/K32</f>
        <v>0.33333333333333331</v>
      </c>
      <c r="M31" s="45">
        <f>1/K33</f>
        <v>0.33333333333333331</v>
      </c>
      <c r="N31" s="38"/>
      <c r="O31" s="43" t="s">
        <v>27</v>
      </c>
      <c r="P31" s="42">
        <f t="shared" ref="P31:P32" si="3">(POWER(PRODUCT(K32:M32),0.25))/(POWER(PRODUCT($K$33:$M$33),0.25)+POWER(PRODUCT($K$32:$M$32),0.25)+POWER(PRODUCT($K$31:$M$31),0.25))</f>
        <v>0.25693304700195263</v>
      </c>
      <c r="Q31" s="38"/>
      <c r="R31" s="38"/>
      <c r="S31" s="38"/>
      <c r="T31" s="38"/>
      <c r="U31" s="38"/>
      <c r="V31" s="55" t="s">
        <v>3</v>
      </c>
      <c r="W31" s="65">
        <f t="shared" ref="W31:W33" si="4">D46</f>
        <v>0.41599779300623801</v>
      </c>
      <c r="X31" s="65">
        <f t="shared" ref="X31:X33" si="5">G30</f>
        <v>0.14617803599661242</v>
      </c>
      <c r="Y31" s="65">
        <f t="shared" ref="Y31:Y33" si="6">P30</f>
        <v>0.16854719423553272</v>
      </c>
      <c r="Z31" s="65">
        <f t="shared" ref="Z31:Z33" si="7">H46</f>
        <v>0.2857142857142857</v>
      </c>
      <c r="AA31" s="65">
        <f t="shared" ref="AA31:AA33" si="8">L46</f>
        <v>0.30938123752495011</v>
      </c>
      <c r="AB31" s="54">
        <f t="shared" ref="AB31:AB33" si="9">P46</f>
        <v>0.45454545454545453</v>
      </c>
      <c r="AC31" s="38"/>
    </row>
    <row r="32" spans="1:42" ht="43.8" thickBot="1" x14ac:dyDescent="0.35">
      <c r="A32" s="43" t="s">
        <v>2</v>
      </c>
      <c r="B32" s="44">
        <v>3</v>
      </c>
      <c r="C32" s="44">
        <v>1</v>
      </c>
      <c r="D32" s="45">
        <f>1/C33</f>
        <v>0.33333333333333331</v>
      </c>
      <c r="E32" s="38"/>
      <c r="F32" s="47" t="s">
        <v>29</v>
      </c>
      <c r="G32" s="48">
        <f>(POWER(PRODUCT(B33:D33),0.25))/(POWER(PRODUCT($B$33:$D$33),0.25)+POWER(PRODUCT($B$32:$D$32),0.25)+POWER(PRODUCT($B$31:$D$31),0.25))</f>
        <v>0.56614509899618815</v>
      </c>
      <c r="H32" s="38"/>
      <c r="I32" s="38"/>
      <c r="J32" s="43" t="s">
        <v>2</v>
      </c>
      <c r="K32" s="44">
        <v>3</v>
      </c>
      <c r="L32" s="44">
        <v>1</v>
      </c>
      <c r="M32" s="45">
        <f>1/L33</f>
        <v>0.2</v>
      </c>
      <c r="N32" s="38"/>
      <c r="O32" s="47" t="s">
        <v>29</v>
      </c>
      <c r="P32" s="42">
        <f t="shared" si="3"/>
        <v>0.5745197587625146</v>
      </c>
      <c r="Q32" s="38"/>
      <c r="R32" s="38"/>
      <c r="S32" s="38"/>
      <c r="T32" s="38"/>
      <c r="U32" s="38"/>
      <c r="V32" s="55" t="s">
        <v>2</v>
      </c>
      <c r="W32" s="65">
        <f t="shared" si="4"/>
        <v>0.27117361837638576</v>
      </c>
      <c r="X32" s="65">
        <f t="shared" si="5"/>
        <v>0.28767686500719952</v>
      </c>
      <c r="Y32" s="65">
        <f t="shared" si="6"/>
        <v>0.25693304700195263</v>
      </c>
      <c r="Z32" s="65">
        <f t="shared" si="7"/>
        <v>0.3392857142857143</v>
      </c>
      <c r="AA32" s="65">
        <f t="shared" si="8"/>
        <v>0.37924151696606789</v>
      </c>
      <c r="AB32" s="54">
        <f t="shared" si="9"/>
        <v>0.27272727272727271</v>
      </c>
      <c r="AC32" s="38"/>
    </row>
    <row r="33" spans="1:29" ht="43.8" thickBot="1" x14ac:dyDescent="0.35">
      <c r="A33" s="47" t="s">
        <v>7</v>
      </c>
      <c r="B33" s="49">
        <v>5</v>
      </c>
      <c r="C33" s="49">
        <v>3</v>
      </c>
      <c r="D33" s="50">
        <v>1</v>
      </c>
      <c r="E33" s="38"/>
      <c r="F33" s="38"/>
      <c r="G33" s="38"/>
      <c r="H33" s="38"/>
      <c r="I33" s="38"/>
      <c r="J33" s="47" t="s">
        <v>7</v>
      </c>
      <c r="K33" s="49">
        <v>3</v>
      </c>
      <c r="L33" s="49">
        <v>5</v>
      </c>
      <c r="M33" s="50">
        <v>1</v>
      </c>
      <c r="N33" s="38"/>
      <c r="O33" s="38"/>
      <c r="P33" s="38"/>
      <c r="Q33" s="38"/>
      <c r="R33" s="38"/>
      <c r="S33" s="38"/>
      <c r="T33" s="38"/>
      <c r="U33" s="38"/>
      <c r="V33" s="66" t="s">
        <v>7</v>
      </c>
      <c r="W33" s="67">
        <f t="shared" si="4"/>
        <v>0.31282858861737628</v>
      </c>
      <c r="X33" s="67">
        <f t="shared" si="5"/>
        <v>0.56614509899618815</v>
      </c>
      <c r="Y33" s="67">
        <f t="shared" si="6"/>
        <v>0.5745197587625146</v>
      </c>
      <c r="Z33" s="67">
        <f t="shared" si="7"/>
        <v>0.375</v>
      </c>
      <c r="AA33" s="67">
        <f t="shared" si="8"/>
        <v>0.31137724550898205</v>
      </c>
      <c r="AB33" s="57">
        <f t="shared" si="9"/>
        <v>0.27272727272727271</v>
      </c>
      <c r="AC33" s="38"/>
    </row>
    <row r="34" spans="1:29" x14ac:dyDescent="0.3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</row>
    <row r="35" spans="1:29" x14ac:dyDescent="0.3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</row>
    <row r="36" spans="1:29" x14ac:dyDescent="0.3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</row>
    <row r="37" spans="1:29" x14ac:dyDescent="0.3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</row>
    <row r="38" spans="1:29" x14ac:dyDescent="0.3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</row>
    <row r="39" spans="1:29" x14ac:dyDescent="0.3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</row>
    <row r="40" spans="1:29" x14ac:dyDescent="0.3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</row>
    <row r="41" spans="1:29" x14ac:dyDescent="0.3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</row>
    <row r="42" spans="1:29" x14ac:dyDescent="0.3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</row>
    <row r="43" spans="1:29" x14ac:dyDescent="0.3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</row>
    <row r="44" spans="1:29" ht="15" thickBot="1" x14ac:dyDescent="0.35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</row>
    <row r="45" spans="1:29" x14ac:dyDescent="0.3">
      <c r="A45" s="38"/>
      <c r="B45" s="38" t="s">
        <v>4</v>
      </c>
      <c r="C45" s="38"/>
      <c r="D45" s="38"/>
      <c r="E45" s="38"/>
      <c r="F45" s="60" t="s">
        <v>5</v>
      </c>
      <c r="G45" s="38"/>
      <c r="H45" s="38"/>
      <c r="I45" s="38"/>
      <c r="J45" s="38" t="s">
        <v>30</v>
      </c>
      <c r="K45" s="38"/>
      <c r="L45" s="38"/>
      <c r="M45" s="38"/>
      <c r="N45" s="38" t="s">
        <v>6</v>
      </c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</row>
    <row r="46" spans="1:29" ht="31.2" x14ac:dyDescent="0.3">
      <c r="A46" s="38"/>
      <c r="B46" s="61" t="s">
        <v>28</v>
      </c>
      <c r="C46" s="61">
        <f>MIN($B$12:$B$14)/B12</f>
        <v>1</v>
      </c>
      <c r="D46" s="59">
        <f>C46/SUM($C$46:$C$48)</f>
        <v>0.41599779300623801</v>
      </c>
      <c r="E46" s="38"/>
      <c r="F46" s="61" t="s">
        <v>28</v>
      </c>
      <c r="G46" s="61">
        <f>C12/MAX($C$12:$C$14)</f>
        <v>0.76190476190476186</v>
      </c>
      <c r="H46" s="59">
        <f>G46/SUM($G$46:$G$48)</f>
        <v>0.2857142857142857</v>
      </c>
      <c r="I46" s="38"/>
      <c r="J46" s="61" t="s">
        <v>28</v>
      </c>
      <c r="K46" s="61">
        <f>D12/MAX($D$12:$D$14)</f>
        <v>0.81578947368421051</v>
      </c>
      <c r="L46" s="59">
        <f>K46/SUM($K$46:$K$48)</f>
        <v>0.30938123752495011</v>
      </c>
      <c r="M46" s="38"/>
      <c r="N46" s="61" t="s">
        <v>28</v>
      </c>
      <c r="O46" s="61">
        <f>E12/MAX($E$12:$E$14)</f>
        <v>1</v>
      </c>
      <c r="P46" s="59">
        <f>O46/SUM($O$46:$O$48)</f>
        <v>0.45454545454545453</v>
      </c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</row>
    <row r="47" spans="1:29" ht="15.6" x14ac:dyDescent="0.3">
      <c r="A47" s="38"/>
      <c r="B47" s="61" t="s">
        <v>27</v>
      </c>
      <c r="C47" s="61">
        <f t="shared" ref="C47:C48" si="10">MIN($B$12:$B$14)/B13</f>
        <v>0.65186311787072249</v>
      </c>
      <c r="D47" s="59">
        <f t="shared" ref="D47:D48" si="11">C47/SUM($C$46:$C$48)</f>
        <v>0.27117361837638576</v>
      </c>
      <c r="E47" s="38"/>
      <c r="F47" s="61" t="s">
        <v>27</v>
      </c>
      <c r="G47" s="61">
        <f t="shared" ref="G47:G48" si="12">C13/MAX($C$12:$C$14)</f>
        <v>0.90476190476190477</v>
      </c>
      <c r="H47" s="59">
        <f t="shared" ref="H47:H48" si="13">G47/SUM($G$46:$G$48)</f>
        <v>0.3392857142857143</v>
      </c>
      <c r="I47" s="38"/>
      <c r="J47" s="61" t="s">
        <v>27</v>
      </c>
      <c r="K47" s="61">
        <f t="shared" ref="K47:K48" si="14">D13/MAX($D$12:$D$14)</f>
        <v>1</v>
      </c>
      <c r="L47" s="59">
        <f t="shared" ref="L47:L48" si="15">K47/SUM($K$46:$K$48)</f>
        <v>0.37924151696606789</v>
      </c>
      <c r="M47" s="38"/>
      <c r="N47" s="61" t="s">
        <v>27</v>
      </c>
      <c r="O47" s="61">
        <f t="shared" ref="O47:O48" si="16">E13/MAX($E$12:$E$14)</f>
        <v>0.6</v>
      </c>
      <c r="P47" s="59">
        <f t="shared" ref="P47:P48" si="17">O47/SUM($O$46:$O$48)</f>
        <v>0.27272727272727271</v>
      </c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</row>
    <row r="48" spans="1:29" ht="31.2" x14ac:dyDescent="0.3">
      <c r="A48" s="38"/>
      <c r="B48" s="61" t="s">
        <v>29</v>
      </c>
      <c r="C48" s="61">
        <f t="shared" si="10"/>
        <v>0.75199578910430742</v>
      </c>
      <c r="D48" s="59">
        <f t="shared" si="11"/>
        <v>0.31282858861737628</v>
      </c>
      <c r="E48" s="38"/>
      <c r="F48" s="61" t="s">
        <v>29</v>
      </c>
      <c r="G48" s="61">
        <f t="shared" si="12"/>
        <v>1</v>
      </c>
      <c r="H48" s="59">
        <f t="shared" si="13"/>
        <v>0.375</v>
      </c>
      <c r="I48" s="38"/>
      <c r="J48" s="61" t="s">
        <v>29</v>
      </c>
      <c r="K48" s="61">
        <f t="shared" si="14"/>
        <v>0.82105263157894737</v>
      </c>
      <c r="L48" s="59">
        <f t="shared" si="15"/>
        <v>0.31137724550898205</v>
      </c>
      <c r="M48" s="38"/>
      <c r="N48" s="61" t="s">
        <v>29</v>
      </c>
      <c r="O48" s="61">
        <f t="shared" si="16"/>
        <v>0.6</v>
      </c>
      <c r="P48" s="59">
        <f t="shared" si="17"/>
        <v>0.27272727272727271</v>
      </c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</row>
    <row r="49" spans="1:29" x14ac:dyDescent="0.3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4B96C-BE1F-4F94-BC99-3F240E49E77A}">
  <dimension ref="A3:AX132"/>
  <sheetViews>
    <sheetView zoomScale="61" zoomScaleNormal="70" workbookViewId="0">
      <selection activeCell="AF100" sqref="AF100"/>
    </sheetView>
  </sheetViews>
  <sheetFormatPr defaultRowHeight="14.4" x14ac:dyDescent="0.3"/>
  <cols>
    <col min="1" max="1" width="8.88671875" style="1"/>
    <col min="2" max="2" width="14.77734375" style="1" bestFit="1" customWidth="1"/>
    <col min="3" max="3" width="16.109375" style="1" customWidth="1"/>
    <col min="4" max="4" width="9.77734375" style="1" customWidth="1"/>
    <col min="5" max="5" width="9.44140625" style="1" customWidth="1"/>
    <col min="6" max="6" width="12.21875" style="1" bestFit="1" customWidth="1"/>
    <col min="7" max="7" width="19.6640625" style="1" bestFit="1" customWidth="1"/>
    <col min="8" max="8" width="12" style="1" bestFit="1" customWidth="1"/>
    <col min="9" max="9" width="15" style="1" customWidth="1"/>
    <col min="10" max="10" width="12.21875" style="1" bestFit="1" customWidth="1"/>
    <col min="11" max="11" width="14" style="1" bestFit="1" customWidth="1"/>
    <col min="12" max="12" width="10.88671875" style="1" bestFit="1" customWidth="1"/>
    <col min="13" max="13" width="13.33203125" style="1" bestFit="1" customWidth="1"/>
    <col min="14" max="14" width="12.44140625" style="1" bestFit="1" customWidth="1"/>
    <col min="15" max="31" width="8.88671875" style="1"/>
    <col min="32" max="32" width="20.6640625" style="1" bestFit="1" customWidth="1"/>
    <col min="33" max="35" width="14.21875" style="1" bestFit="1" customWidth="1"/>
    <col min="36" max="36" width="9" style="1" bestFit="1" customWidth="1"/>
    <col min="37" max="38" width="14.21875" style="1" bestFit="1" customWidth="1"/>
    <col min="39" max="39" width="15.21875" style="1" bestFit="1" customWidth="1"/>
    <col min="40" max="40" width="27.6640625" style="1" bestFit="1" customWidth="1"/>
    <col min="41" max="41" width="8.88671875" style="1"/>
    <col min="42" max="44" width="14.21875" style="1" bestFit="1" customWidth="1"/>
    <col min="45" max="45" width="9.109375" style="1" bestFit="1" customWidth="1"/>
    <col min="46" max="48" width="14.21875" style="1" bestFit="1" customWidth="1"/>
    <col min="49" max="16384" width="8.88671875" style="1"/>
  </cols>
  <sheetData>
    <row r="3" spans="1:44" x14ac:dyDescent="0.3"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H3" s="99"/>
      <c r="AI3" s="99"/>
      <c r="AJ3" s="99"/>
      <c r="AK3" s="99"/>
      <c r="AL3" s="99"/>
      <c r="AN3" s="99"/>
      <c r="AO3" s="99"/>
      <c r="AP3" s="99"/>
      <c r="AQ3" s="99"/>
      <c r="AR3" s="99"/>
    </row>
    <row r="4" spans="1:44" ht="15" thickBot="1" x14ac:dyDescent="0.35">
      <c r="V4" s="99"/>
      <c r="W4" s="147"/>
      <c r="X4" s="147"/>
      <c r="Y4" s="147"/>
      <c r="Z4" s="147"/>
      <c r="AA4" s="99"/>
      <c r="AB4" s="99"/>
      <c r="AC4" s="147"/>
      <c r="AD4" s="147"/>
      <c r="AE4" s="147"/>
      <c r="AF4" s="147"/>
      <c r="AH4" s="99"/>
      <c r="AI4" s="147"/>
      <c r="AJ4" s="147"/>
      <c r="AK4" s="147"/>
      <c r="AL4" s="147"/>
      <c r="AN4" s="99"/>
      <c r="AO4" s="147"/>
      <c r="AP4" s="147"/>
      <c r="AQ4" s="147"/>
      <c r="AR4" s="147"/>
    </row>
    <row r="5" spans="1:44" x14ac:dyDescent="0.3">
      <c r="D5" s="163" t="s">
        <v>46</v>
      </c>
      <c r="E5" s="164"/>
      <c r="F5" s="164"/>
      <c r="G5" s="165"/>
      <c r="H5" s="160" t="s">
        <v>47</v>
      </c>
      <c r="I5" s="161"/>
      <c r="J5" s="162"/>
      <c r="L5" s="157"/>
      <c r="M5" s="157"/>
      <c r="N5" s="157"/>
      <c r="V5" s="99"/>
      <c r="W5" s="147"/>
      <c r="X5" s="147"/>
      <c r="Y5" s="147"/>
      <c r="Z5" s="147"/>
      <c r="AA5" s="99"/>
      <c r="AB5" s="99"/>
      <c r="AC5" s="147"/>
      <c r="AD5" s="147"/>
      <c r="AE5" s="147"/>
      <c r="AF5" s="147"/>
      <c r="AH5" s="99"/>
      <c r="AI5" s="147"/>
      <c r="AJ5" s="147"/>
      <c r="AK5" s="147"/>
      <c r="AL5" s="147"/>
      <c r="AN5" s="99"/>
      <c r="AO5" s="147"/>
      <c r="AP5" s="147"/>
      <c r="AQ5" s="147"/>
      <c r="AR5" s="147"/>
    </row>
    <row r="6" spans="1:44" ht="15" thickBot="1" x14ac:dyDescent="0.35">
      <c r="D6" s="110" t="s">
        <v>4</v>
      </c>
      <c r="E6" s="89" t="s">
        <v>16</v>
      </c>
      <c r="F6" s="89" t="s">
        <v>19</v>
      </c>
      <c r="G6" s="123" t="s">
        <v>49</v>
      </c>
      <c r="H6" s="110" t="s">
        <v>43</v>
      </c>
      <c r="I6" s="89" t="s">
        <v>44</v>
      </c>
      <c r="J6" s="123" t="s">
        <v>42</v>
      </c>
      <c r="V6" s="99"/>
      <c r="W6" s="147"/>
      <c r="X6" s="147"/>
      <c r="Y6" s="147"/>
      <c r="Z6" s="147"/>
      <c r="AB6" s="99"/>
      <c r="AC6" s="147"/>
      <c r="AD6" s="147"/>
      <c r="AE6" s="147"/>
      <c r="AF6" s="147"/>
      <c r="AH6" s="99"/>
      <c r="AI6" s="147"/>
      <c r="AJ6" s="147"/>
      <c r="AK6" s="147"/>
      <c r="AL6" s="147"/>
      <c r="AN6" s="99"/>
      <c r="AO6" s="147"/>
      <c r="AP6" s="147"/>
      <c r="AQ6" s="147"/>
      <c r="AR6" s="147"/>
    </row>
    <row r="7" spans="1:44" x14ac:dyDescent="0.3">
      <c r="B7" s="166" t="s">
        <v>45</v>
      </c>
      <c r="C7" s="93" t="s">
        <v>4</v>
      </c>
      <c r="D7" s="91">
        <v>0</v>
      </c>
      <c r="E7" s="92">
        <v>0</v>
      </c>
      <c r="F7" s="92">
        <v>0</v>
      </c>
      <c r="G7" s="93">
        <v>0</v>
      </c>
      <c r="H7" s="91">
        <f>D37</f>
        <v>0.23204813052533269</v>
      </c>
      <c r="I7" s="92">
        <f>J37</f>
        <v>0.14058435768300959</v>
      </c>
      <c r="J7" s="93">
        <f>P37</f>
        <v>0.14761976454527617</v>
      </c>
      <c r="V7" s="99"/>
      <c r="W7" s="147"/>
      <c r="X7" s="147"/>
      <c r="Y7" s="147"/>
      <c r="Z7" s="147"/>
      <c r="AB7" s="99"/>
      <c r="AC7" s="147"/>
      <c r="AD7" s="147"/>
      <c r="AE7" s="147"/>
      <c r="AF7" s="147"/>
      <c r="AH7" s="99"/>
      <c r="AI7" s="147"/>
      <c r="AJ7" s="147"/>
      <c r="AK7" s="147"/>
      <c r="AL7" s="147"/>
      <c r="AN7" s="99"/>
      <c r="AO7" s="147"/>
      <c r="AP7" s="147"/>
      <c r="AQ7" s="147"/>
      <c r="AR7" s="147"/>
    </row>
    <row r="8" spans="1:44" x14ac:dyDescent="0.3">
      <c r="B8" s="167"/>
      <c r="C8" s="95" t="s">
        <v>16</v>
      </c>
      <c r="D8" s="94">
        <v>0</v>
      </c>
      <c r="E8" s="88">
        <v>0</v>
      </c>
      <c r="F8" s="88">
        <v>0</v>
      </c>
      <c r="G8" s="95">
        <v>0</v>
      </c>
      <c r="H8" s="94">
        <f>D38</f>
        <v>8.9593178732748358E-2</v>
      </c>
      <c r="I8" s="88">
        <f>J38</f>
        <v>0.24349925025640867</v>
      </c>
      <c r="J8" s="95">
        <f>P38</f>
        <v>0.43442001287776583</v>
      </c>
    </row>
    <row r="9" spans="1:44" x14ac:dyDescent="0.3">
      <c r="B9" s="167"/>
      <c r="C9" s="95" t="s">
        <v>19</v>
      </c>
      <c r="D9" s="94">
        <v>0</v>
      </c>
      <c r="E9" s="88">
        <v>0</v>
      </c>
      <c r="F9" s="88">
        <v>0</v>
      </c>
      <c r="G9" s="95">
        <v>0</v>
      </c>
      <c r="H9" s="94">
        <f>D39</f>
        <v>7.7349376841777548E-2</v>
      </c>
      <c r="I9" s="88">
        <f>J39</f>
        <v>7.1435516017018988E-2</v>
      </c>
      <c r="J9" s="95">
        <f>P39</f>
        <v>0.12744605067721962</v>
      </c>
      <c r="W9" s="99"/>
      <c r="AC9" s="99"/>
      <c r="AI9" s="99"/>
      <c r="AO9" s="99"/>
    </row>
    <row r="10" spans="1:44" ht="21.6" thickBot="1" x14ac:dyDescent="0.35">
      <c r="A10" s="112" t="s">
        <v>48</v>
      </c>
      <c r="B10" s="168"/>
      <c r="C10" s="98" t="s">
        <v>40</v>
      </c>
      <c r="D10" s="96">
        <v>0</v>
      </c>
      <c r="E10" s="97">
        <v>0</v>
      </c>
      <c r="F10" s="97">
        <v>0</v>
      </c>
      <c r="G10" s="98">
        <v>0</v>
      </c>
      <c r="H10" s="96">
        <f>D40</f>
        <v>0.60100931390014134</v>
      </c>
      <c r="I10" s="97">
        <f>J40</f>
        <v>0.54448087604356277</v>
      </c>
      <c r="J10" s="98">
        <f>P40</f>
        <v>0.29051417189973838</v>
      </c>
      <c r="W10" s="99"/>
      <c r="AC10" s="99"/>
      <c r="AI10" s="99"/>
      <c r="AO10" s="99"/>
    </row>
    <row r="11" spans="1:44" ht="21" customHeight="1" x14ac:dyDescent="0.3">
      <c r="B11" s="158" t="s">
        <v>94</v>
      </c>
      <c r="C11" s="124" t="s">
        <v>43</v>
      </c>
      <c r="D11" s="91">
        <f t="shared" ref="D11:D13" si="0">D25</f>
        <v>0.66941686944898782</v>
      </c>
      <c r="E11" s="92">
        <f t="shared" ref="E11:E13" si="1">J25</f>
        <v>8.0961231999750694E-2</v>
      </c>
      <c r="F11" s="92">
        <f t="shared" ref="F11:F13" si="2">P25</f>
        <v>8.7946208819056029E-2</v>
      </c>
      <c r="G11" s="93">
        <f t="shared" ref="G11:G13" si="3">W25</f>
        <v>0.25828499437449498</v>
      </c>
      <c r="H11" s="91">
        <v>0</v>
      </c>
      <c r="I11" s="92">
        <v>0</v>
      </c>
      <c r="J11" s="93">
        <v>0</v>
      </c>
      <c r="W11" s="99"/>
      <c r="AC11" s="99"/>
      <c r="AI11" s="99"/>
      <c r="AO11" s="99"/>
    </row>
    <row r="12" spans="1:44" x14ac:dyDescent="0.3">
      <c r="B12" s="158"/>
      <c r="C12" s="90" t="s">
        <v>44</v>
      </c>
      <c r="D12" s="94">
        <f t="shared" si="0"/>
        <v>8.7946208819056029E-2</v>
      </c>
      <c r="E12" s="88">
        <f t="shared" si="1"/>
        <v>0.18839409663911982</v>
      </c>
      <c r="F12" s="88">
        <f t="shared" si="2"/>
        <v>0.24263692173195622</v>
      </c>
      <c r="G12" s="95">
        <f t="shared" si="3"/>
        <v>0.63698557174475723</v>
      </c>
      <c r="H12" s="94">
        <v>0</v>
      </c>
      <c r="I12" s="88">
        <v>0</v>
      </c>
      <c r="J12" s="95">
        <v>0</v>
      </c>
    </row>
    <row r="13" spans="1:44" ht="15" thickBot="1" x14ac:dyDescent="0.35">
      <c r="B13" s="159"/>
      <c r="C13" s="122" t="s">
        <v>42</v>
      </c>
      <c r="D13" s="96">
        <f t="shared" si="0"/>
        <v>0.24263692173195622</v>
      </c>
      <c r="E13" s="97">
        <f t="shared" si="1"/>
        <v>0.73064467136112943</v>
      </c>
      <c r="F13" s="97">
        <f t="shared" si="2"/>
        <v>0.66941686944898782</v>
      </c>
      <c r="G13" s="98">
        <f t="shared" si="3"/>
        <v>0.10472943388074786</v>
      </c>
      <c r="H13" s="96">
        <v>0</v>
      </c>
      <c r="I13" s="97">
        <v>0</v>
      </c>
      <c r="J13" s="98">
        <v>0</v>
      </c>
    </row>
    <row r="14" spans="1:44" x14ac:dyDescent="0.3">
      <c r="B14" s="139"/>
    </row>
    <row r="15" spans="1:44" x14ac:dyDescent="0.3">
      <c r="B15" s="169"/>
    </row>
    <row r="16" spans="1:44" x14ac:dyDescent="0.3">
      <c r="B16" s="169"/>
    </row>
    <row r="17" spans="1:24" x14ac:dyDescent="0.3">
      <c r="B17" s="169"/>
    </row>
    <row r="18" spans="1:24" ht="15" thickBot="1" x14ac:dyDescent="0.35"/>
    <row r="19" spans="1:24" ht="21" x14ac:dyDescent="0.3">
      <c r="A19" s="143" t="s">
        <v>50</v>
      </c>
      <c r="B19" s="114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5"/>
    </row>
    <row r="20" spans="1:24" s="99" customFormat="1" ht="43.2" x14ac:dyDescent="0.3">
      <c r="A20" s="150"/>
      <c r="B20" s="2" t="s">
        <v>4</v>
      </c>
      <c r="C20" s="2" t="s">
        <v>43</v>
      </c>
      <c r="D20" s="2" t="s">
        <v>44</v>
      </c>
      <c r="E20" s="2" t="s">
        <v>42</v>
      </c>
      <c r="H20" s="151" t="s">
        <v>16</v>
      </c>
      <c r="I20" s="2" t="s">
        <v>43</v>
      </c>
      <c r="J20" s="2" t="s">
        <v>44</v>
      </c>
      <c r="K20" s="2" t="s">
        <v>42</v>
      </c>
      <c r="N20" s="151" t="s">
        <v>19</v>
      </c>
      <c r="O20" s="2" t="s">
        <v>43</v>
      </c>
      <c r="P20" s="2" t="s">
        <v>44</v>
      </c>
      <c r="Q20" s="2" t="s">
        <v>42</v>
      </c>
      <c r="U20" s="2" t="s">
        <v>49</v>
      </c>
      <c r="V20" s="2" t="s">
        <v>43</v>
      </c>
      <c r="W20" s="2" t="s">
        <v>44</v>
      </c>
      <c r="X20" s="9" t="s">
        <v>42</v>
      </c>
    </row>
    <row r="21" spans="1:24" x14ac:dyDescent="0.3">
      <c r="A21" s="116"/>
      <c r="B21" s="88" t="s">
        <v>43</v>
      </c>
      <c r="C21" s="144">
        <v>1</v>
      </c>
      <c r="D21" s="144">
        <f>1/C22</f>
        <v>7</v>
      </c>
      <c r="E21" s="144">
        <f>1/C23</f>
        <v>3</v>
      </c>
      <c r="H21" s="88" t="s">
        <v>43</v>
      </c>
      <c r="I21" s="144">
        <v>1</v>
      </c>
      <c r="J21" s="144">
        <f>1/I22</f>
        <v>0.33333333333333331</v>
      </c>
      <c r="K21" s="144">
        <f>1/I23</f>
        <v>0.14285714285714285</v>
      </c>
      <c r="N21" s="88" t="s">
        <v>43</v>
      </c>
      <c r="O21" s="144">
        <v>1</v>
      </c>
      <c r="P21" s="144">
        <f>1/O22</f>
        <v>0.33333333333333331</v>
      </c>
      <c r="Q21" s="144">
        <f>1/O23</f>
        <v>0.14285714285714285</v>
      </c>
      <c r="U21" s="88" t="s">
        <v>43</v>
      </c>
      <c r="V21" s="144">
        <v>1</v>
      </c>
      <c r="W21" s="144">
        <f>1/V22</f>
        <v>0.33333333333333331</v>
      </c>
      <c r="X21" s="145">
        <f>1/V23</f>
        <v>3</v>
      </c>
    </row>
    <row r="22" spans="1:24" x14ac:dyDescent="0.3">
      <c r="A22" s="116"/>
      <c r="B22" s="88" t="s">
        <v>44</v>
      </c>
      <c r="C22" s="144">
        <v>0.14285714285714285</v>
      </c>
      <c r="D22" s="144">
        <v>1</v>
      </c>
      <c r="E22" s="144">
        <f>1/D23</f>
        <v>0.33333333333333331</v>
      </c>
      <c r="H22" s="88" t="s">
        <v>44</v>
      </c>
      <c r="I22" s="144">
        <v>3</v>
      </c>
      <c r="J22" s="144">
        <v>1</v>
      </c>
      <c r="K22" s="144">
        <f>1/J23</f>
        <v>0.2</v>
      </c>
      <c r="N22" s="88" t="s">
        <v>44</v>
      </c>
      <c r="O22" s="144">
        <v>3</v>
      </c>
      <c r="P22" s="144">
        <v>1</v>
      </c>
      <c r="Q22" s="144">
        <f>1/P23</f>
        <v>0.33333333333333331</v>
      </c>
      <c r="U22" s="88" t="s">
        <v>44</v>
      </c>
      <c r="V22" s="144">
        <v>3</v>
      </c>
      <c r="W22" s="144">
        <v>1</v>
      </c>
      <c r="X22" s="145">
        <f>1/W23</f>
        <v>5</v>
      </c>
    </row>
    <row r="23" spans="1:24" x14ac:dyDescent="0.3">
      <c r="A23" s="116"/>
      <c r="B23" s="88" t="s">
        <v>42</v>
      </c>
      <c r="C23" s="144">
        <v>0.33333333333333331</v>
      </c>
      <c r="D23" s="144">
        <v>3</v>
      </c>
      <c r="E23" s="144">
        <v>1</v>
      </c>
      <c r="H23" s="88" t="s">
        <v>42</v>
      </c>
      <c r="I23" s="144">
        <v>7</v>
      </c>
      <c r="J23" s="144">
        <v>5</v>
      </c>
      <c r="K23" s="144">
        <v>1</v>
      </c>
      <c r="N23" s="88" t="s">
        <v>42</v>
      </c>
      <c r="O23" s="144">
        <v>7</v>
      </c>
      <c r="P23" s="144">
        <v>3</v>
      </c>
      <c r="Q23" s="144">
        <v>1</v>
      </c>
      <c r="U23" s="88" t="s">
        <v>42</v>
      </c>
      <c r="V23" s="144">
        <v>0.33333333333333331</v>
      </c>
      <c r="W23" s="144">
        <v>0.2</v>
      </c>
      <c r="X23" s="145">
        <v>1</v>
      </c>
    </row>
    <row r="24" spans="1:24" x14ac:dyDescent="0.3">
      <c r="A24" s="116"/>
      <c r="X24" s="117"/>
    </row>
    <row r="25" spans="1:24" ht="15.6" x14ac:dyDescent="0.3">
      <c r="A25" s="116"/>
      <c r="C25" s="59" t="s">
        <v>28</v>
      </c>
      <c r="D25" s="88">
        <f>(POWER(PRODUCT(C21:E21),(1/3))/(POWER(PRODUCT($C$21:$E$21),(1/3))+POWER(PRODUCT($C$23:$E$23),(1/3))+POWER(PRODUCT($C$22:$E$22),(1/3))))</f>
        <v>0.66941686944898782</v>
      </c>
      <c r="I25" s="59" t="s">
        <v>28</v>
      </c>
      <c r="J25" s="88">
        <f>(POWER(PRODUCT(I21:K21),(1/3))/(POWER(PRODUCT($I$21:$K$21),(1/3))+POWER(PRODUCT($I$23:$K$23),(1/3))+POWER(PRODUCT($I$22:$K$22),(1/3))))</f>
        <v>8.0961231999750694E-2</v>
      </c>
      <c r="O25" s="59" t="s">
        <v>28</v>
      </c>
      <c r="P25" s="88">
        <f>(POWER(PRODUCT(O21:Q21),(1/3))/(POWER(PRODUCT($O$21:$Q$21),(1/3))+POWER(PRODUCT($O$23:$Q$23),(1/3))+POWER(PRODUCT($O$22:$Q$22),(1/3))))</f>
        <v>8.7946208819056029E-2</v>
      </c>
      <c r="V25" s="59" t="s">
        <v>28</v>
      </c>
      <c r="W25" s="88">
        <f>(POWER(PRODUCT(V21:X21),(1/3))/(POWER(PRODUCT($V$21:$X$21),(1/3))+POWER(PRODUCT($V$23:$X$23),(1/3))+POWER(PRODUCT($V$22:$X$22),(1/3))))</f>
        <v>0.25828499437449498</v>
      </c>
      <c r="X25" s="117"/>
    </row>
    <row r="26" spans="1:24" ht="15.6" x14ac:dyDescent="0.3">
      <c r="A26" s="116"/>
      <c r="C26" s="59" t="s">
        <v>27</v>
      </c>
      <c r="D26" s="88">
        <f t="shared" ref="D26:D27" si="4">(POWER(PRODUCT(C22:E22),(1/3))/(POWER(PRODUCT($C$21:$E$21),(1/3))+POWER(PRODUCT($C$23:$E$23),(1/3))+POWER(PRODUCT($C$22:$E$22),(1/3))))</f>
        <v>8.7946208819056029E-2</v>
      </c>
      <c r="I26" s="59" t="s">
        <v>27</v>
      </c>
      <c r="J26" s="88">
        <f t="shared" ref="J26:J27" si="5">(POWER(PRODUCT(I22:K22),(1/3))/(POWER(PRODUCT($I$21:$K$21),(1/3))+POWER(PRODUCT($I$23:$K$23),(1/3))+POWER(PRODUCT($I$22:$K$22),(1/3))))</f>
        <v>0.18839409663911982</v>
      </c>
      <c r="O26" s="59" t="s">
        <v>27</v>
      </c>
      <c r="P26" s="88">
        <f t="shared" ref="P26:P27" si="6">(POWER(PRODUCT(O22:Q22),(1/3))/(POWER(PRODUCT($O$21:$Q$21),(1/3))+POWER(PRODUCT($O$23:$Q$23),(1/3))+POWER(PRODUCT($O$22:$Q$22),(1/3))))</f>
        <v>0.24263692173195622</v>
      </c>
      <c r="V26" s="59" t="s">
        <v>27</v>
      </c>
      <c r="W26" s="88">
        <f t="shared" ref="W26:W27" si="7">(POWER(PRODUCT(V22:X22),(1/3))/(POWER(PRODUCT($V$21:$X$21),(1/3))+POWER(PRODUCT($V$23:$X$23),(1/3))+POWER(PRODUCT($V$22:$X$22),(1/3))))</f>
        <v>0.63698557174475723</v>
      </c>
      <c r="X26" s="117"/>
    </row>
    <row r="27" spans="1:24" ht="15.6" x14ac:dyDescent="0.3">
      <c r="A27" s="116"/>
      <c r="C27" s="59" t="s">
        <v>29</v>
      </c>
      <c r="D27" s="88">
        <f t="shared" si="4"/>
        <v>0.24263692173195622</v>
      </c>
      <c r="I27" s="59" t="s">
        <v>29</v>
      </c>
      <c r="J27" s="88">
        <f t="shared" si="5"/>
        <v>0.73064467136112943</v>
      </c>
      <c r="O27" s="59" t="s">
        <v>29</v>
      </c>
      <c r="P27" s="88">
        <f t="shared" si="6"/>
        <v>0.66941686944898782</v>
      </c>
      <c r="V27" s="59" t="s">
        <v>95</v>
      </c>
      <c r="W27" s="88">
        <f t="shared" si="7"/>
        <v>0.10472943388074786</v>
      </c>
      <c r="X27" s="117"/>
    </row>
    <row r="28" spans="1:24" x14ac:dyDescent="0.3">
      <c r="A28" s="116"/>
      <c r="X28" s="117"/>
    </row>
    <row r="29" spans="1:24" x14ac:dyDescent="0.3">
      <c r="A29" s="116"/>
      <c r="X29" s="117"/>
    </row>
    <row r="30" spans="1:24" ht="15" thickBot="1" x14ac:dyDescent="0.35">
      <c r="A30" s="116"/>
      <c r="X30" s="117"/>
    </row>
    <row r="31" spans="1:24" s="99" customFormat="1" ht="43.2" x14ac:dyDescent="0.3">
      <c r="A31" s="150"/>
      <c r="B31" s="20" t="s">
        <v>43</v>
      </c>
      <c r="C31" s="21" t="s">
        <v>4</v>
      </c>
      <c r="D31" s="21" t="s">
        <v>16</v>
      </c>
      <c r="E31" s="21" t="s">
        <v>19</v>
      </c>
      <c r="F31" s="22" t="s">
        <v>17</v>
      </c>
      <c r="H31" s="109" t="s">
        <v>44</v>
      </c>
      <c r="I31" s="21" t="s">
        <v>4</v>
      </c>
      <c r="J31" s="21" t="s">
        <v>16</v>
      </c>
      <c r="K31" s="21" t="s">
        <v>19</v>
      </c>
      <c r="L31" s="22" t="s">
        <v>17</v>
      </c>
      <c r="N31" s="109" t="s">
        <v>42</v>
      </c>
      <c r="O31" s="101" t="s">
        <v>4</v>
      </c>
      <c r="P31" s="101" t="s">
        <v>16</v>
      </c>
      <c r="Q31" s="101" t="s">
        <v>19</v>
      </c>
      <c r="R31" s="102" t="s">
        <v>17</v>
      </c>
      <c r="X31" s="152"/>
    </row>
    <row r="32" spans="1:24" x14ac:dyDescent="0.3">
      <c r="A32" s="116"/>
      <c r="B32" s="23" t="s">
        <v>4</v>
      </c>
      <c r="C32" s="24">
        <v>1</v>
      </c>
      <c r="D32" s="24">
        <f>1/C33</f>
        <v>3</v>
      </c>
      <c r="E32" s="24">
        <v>3</v>
      </c>
      <c r="F32" s="25">
        <f>1/C35</f>
        <v>0.33333333333333331</v>
      </c>
      <c r="H32" s="23" t="s">
        <v>4</v>
      </c>
      <c r="I32" s="24">
        <v>1</v>
      </c>
      <c r="J32" s="24">
        <f>1/I33</f>
        <v>0.33333333333333331</v>
      </c>
      <c r="K32" s="24">
        <v>5</v>
      </c>
      <c r="L32" s="25">
        <f>1/I35</f>
        <v>0.2</v>
      </c>
      <c r="N32" s="103" t="s">
        <v>4</v>
      </c>
      <c r="O32" s="104">
        <v>1</v>
      </c>
      <c r="P32" s="104">
        <f>1/O33</f>
        <v>0.2</v>
      </c>
      <c r="Q32" s="104">
        <v>3</v>
      </c>
      <c r="R32" s="105">
        <f>1/O35</f>
        <v>0.33333333333333331</v>
      </c>
      <c r="X32" s="117"/>
    </row>
    <row r="33" spans="1:39" x14ac:dyDescent="0.3">
      <c r="A33" s="116"/>
      <c r="B33" s="23" t="s">
        <v>16</v>
      </c>
      <c r="C33" s="24">
        <v>0.33333333333333331</v>
      </c>
      <c r="D33" s="24">
        <v>1</v>
      </c>
      <c r="E33" s="24">
        <v>1</v>
      </c>
      <c r="F33" s="25">
        <v>0.2</v>
      </c>
      <c r="H33" s="23" t="s">
        <v>16</v>
      </c>
      <c r="I33" s="24">
        <v>3</v>
      </c>
      <c r="J33" s="24">
        <v>1</v>
      </c>
      <c r="K33" s="24">
        <v>3</v>
      </c>
      <c r="L33" s="25">
        <v>0.33333333333333331</v>
      </c>
      <c r="N33" s="103" t="s">
        <v>16</v>
      </c>
      <c r="O33" s="104">
        <v>5</v>
      </c>
      <c r="P33" s="104">
        <v>1</v>
      </c>
      <c r="Q33" s="104">
        <v>3</v>
      </c>
      <c r="R33" s="105">
        <v>1</v>
      </c>
      <c r="X33" s="117"/>
    </row>
    <row r="34" spans="1:39" ht="28.8" x14ac:dyDescent="0.3">
      <c r="A34" s="116"/>
      <c r="B34" s="23" t="s">
        <v>19</v>
      </c>
      <c r="C34" s="24">
        <f>1/E32</f>
        <v>0.33333333333333331</v>
      </c>
      <c r="D34" s="24">
        <f>1/E33</f>
        <v>1</v>
      </c>
      <c r="E34" s="24">
        <v>1</v>
      </c>
      <c r="F34" s="25">
        <f>1/E35</f>
        <v>0.1111111111111111</v>
      </c>
      <c r="H34" s="23" t="s">
        <v>19</v>
      </c>
      <c r="I34" s="24">
        <v>0.33333333333333331</v>
      </c>
      <c r="J34" s="24">
        <f>1/K33</f>
        <v>0.33333333333333331</v>
      </c>
      <c r="K34" s="24">
        <v>1</v>
      </c>
      <c r="L34" s="25">
        <f>1/K35</f>
        <v>0.2</v>
      </c>
      <c r="N34" s="103" t="s">
        <v>19</v>
      </c>
      <c r="O34" s="104">
        <f>1/Q32</f>
        <v>0.33333333333333331</v>
      </c>
      <c r="P34" s="104">
        <f>1/Q33</f>
        <v>0.33333333333333331</v>
      </c>
      <c r="Q34" s="104">
        <v>1</v>
      </c>
      <c r="R34" s="105">
        <f>1/Q35</f>
        <v>1</v>
      </c>
      <c r="X34" s="117"/>
    </row>
    <row r="35" spans="1:39" ht="43.8" thickBot="1" x14ac:dyDescent="0.35">
      <c r="A35" s="116"/>
      <c r="B35" s="28" t="s">
        <v>17</v>
      </c>
      <c r="C35" s="29">
        <v>3</v>
      </c>
      <c r="D35" s="29">
        <f>1/F33</f>
        <v>5</v>
      </c>
      <c r="E35" s="29">
        <v>9</v>
      </c>
      <c r="F35" s="30">
        <v>1</v>
      </c>
      <c r="H35" s="28" t="s">
        <v>17</v>
      </c>
      <c r="I35" s="29">
        <v>5</v>
      </c>
      <c r="J35" s="29">
        <f>1/L33</f>
        <v>3</v>
      </c>
      <c r="K35" s="29">
        <v>5</v>
      </c>
      <c r="L35" s="30">
        <v>1</v>
      </c>
      <c r="N35" s="106" t="s">
        <v>17</v>
      </c>
      <c r="O35" s="107">
        <v>3</v>
      </c>
      <c r="P35" s="107">
        <f>1/R33</f>
        <v>1</v>
      </c>
      <c r="Q35" s="107">
        <v>1</v>
      </c>
      <c r="R35" s="108">
        <v>1</v>
      </c>
      <c r="X35" s="117"/>
    </row>
    <row r="36" spans="1:39" ht="15" thickBot="1" x14ac:dyDescent="0.35">
      <c r="A36" s="116"/>
      <c r="B36" s="19"/>
      <c r="C36" s="19"/>
      <c r="D36" s="19"/>
      <c r="E36" s="19"/>
      <c r="F36" s="19"/>
      <c r="H36" s="19"/>
      <c r="I36" s="19"/>
      <c r="J36" s="19"/>
      <c r="K36" s="19"/>
      <c r="L36" s="19"/>
      <c r="N36" s="19"/>
      <c r="O36" s="19"/>
      <c r="P36" s="19"/>
      <c r="Q36" s="19"/>
      <c r="R36" s="19"/>
      <c r="X36" s="117"/>
    </row>
    <row r="37" spans="1:39" ht="16.2" thickBot="1" x14ac:dyDescent="0.35">
      <c r="A37" s="116"/>
      <c r="B37" s="19"/>
      <c r="C37" s="20" t="s">
        <v>18</v>
      </c>
      <c r="D37" s="34">
        <f>(POWER(PRODUCT(C32:F32),0.25)/(POWER(PRODUCT($C$32:$F$32),0.25)+POWER(PRODUCT($C$33:$F$33),0.25)+POWER(PRODUCT($C$34:$F$34),0.25)+POWER(PRODUCT($C$35:$F$35),0.25)))</f>
        <v>0.23204813052533269</v>
      </c>
      <c r="E37" s="19"/>
      <c r="F37" s="19"/>
      <c r="H37" s="19"/>
      <c r="I37" s="20" t="s">
        <v>18</v>
      </c>
      <c r="J37" s="34">
        <f>(POWER(PRODUCT(I32:L32),0.25)/(POWER(PRODUCT($I$32:$L$32),0.25)+POWER(PRODUCT($I$33:$L$33),0.25)+POWER(PRODUCT($I$34:$L$34),0.25)+POWER(PRODUCT($I$35:$L$35),0.25)))</f>
        <v>0.14058435768300959</v>
      </c>
      <c r="K37" s="19"/>
      <c r="L37" s="19"/>
      <c r="N37" s="19"/>
      <c r="O37" s="20" t="s">
        <v>18</v>
      </c>
      <c r="P37" s="34">
        <f>(POWER(PRODUCT(O32:R32),0.25)/(POWER(PRODUCT($O$32:$R$32),0.25)+POWER(PRODUCT($O$33:$R$33),0.25)+POWER(PRODUCT($O$34:$R$34),0.25)+POWER(PRODUCT($O$35:$R$35),0.25)))</f>
        <v>0.14761976454527617</v>
      </c>
      <c r="Q37" s="19"/>
      <c r="R37" s="19"/>
      <c r="X37" s="117"/>
    </row>
    <row r="38" spans="1:39" ht="16.2" thickBot="1" x14ac:dyDescent="0.35">
      <c r="A38" s="116"/>
      <c r="B38" s="19"/>
      <c r="C38" s="23" t="s">
        <v>22</v>
      </c>
      <c r="D38" s="34">
        <f t="shared" ref="D38:D40" si="8">(POWER(PRODUCT(C33:F33),0.25)/(POWER(PRODUCT($C$32:$F$32),0.25)+POWER(PRODUCT($C$33:$F$33),0.25)+POWER(PRODUCT($C$34:$F$34),0.25)+POWER(PRODUCT($C$35:$F$35),0.25)))</f>
        <v>8.9593178732748358E-2</v>
      </c>
      <c r="E38" s="19"/>
      <c r="F38" s="19"/>
      <c r="H38" s="19"/>
      <c r="I38" s="23" t="s">
        <v>22</v>
      </c>
      <c r="J38" s="34">
        <f t="shared" ref="J38:J40" si="9">(POWER(PRODUCT(I33:L33),0.25)/(POWER(PRODUCT($I$32:$L$32),0.25)+POWER(PRODUCT($I$33:$L$33),0.25)+POWER(PRODUCT($I$34:$L$34),0.25)+POWER(PRODUCT($I$35:$L$35),0.25)))</f>
        <v>0.24349925025640867</v>
      </c>
      <c r="K38" s="19"/>
      <c r="L38" s="19"/>
      <c r="N38" s="19"/>
      <c r="O38" s="23" t="s">
        <v>22</v>
      </c>
      <c r="P38" s="34">
        <f t="shared" ref="P38:P40" si="10">(POWER(PRODUCT(O33:R33),0.25)/(POWER(PRODUCT($O$32:$R$32),0.25)+POWER(PRODUCT($O$33:$R$33),0.25)+POWER(PRODUCT($O$34:$R$34),0.25)+POWER(PRODUCT($O$35:$R$35),0.25)))</f>
        <v>0.43442001287776583</v>
      </c>
      <c r="Q38" s="19"/>
      <c r="R38" s="19"/>
      <c r="X38" s="117"/>
    </row>
    <row r="39" spans="1:39" ht="31.8" thickBot="1" x14ac:dyDescent="0.35">
      <c r="A39" s="116"/>
      <c r="B39" s="19"/>
      <c r="C39" s="23" t="s">
        <v>21</v>
      </c>
      <c r="D39" s="34">
        <f t="shared" si="8"/>
        <v>7.7349376841777548E-2</v>
      </c>
      <c r="E39" s="19"/>
      <c r="F39" s="19"/>
      <c r="H39" s="19"/>
      <c r="I39" s="23" t="s">
        <v>21</v>
      </c>
      <c r="J39" s="34">
        <f t="shared" si="9"/>
        <v>7.1435516017018988E-2</v>
      </c>
      <c r="K39" s="19"/>
      <c r="L39" s="19"/>
      <c r="N39" s="19"/>
      <c r="O39" s="23" t="s">
        <v>21</v>
      </c>
      <c r="P39" s="34">
        <f t="shared" si="10"/>
        <v>0.12744605067721962</v>
      </c>
      <c r="Q39" s="19"/>
      <c r="R39" s="19"/>
      <c r="X39" s="117"/>
    </row>
    <row r="40" spans="1:39" ht="16.2" thickBot="1" x14ac:dyDescent="0.35">
      <c r="A40" s="116"/>
      <c r="B40" s="19"/>
      <c r="C40" s="33" t="s">
        <v>20</v>
      </c>
      <c r="D40" s="34">
        <f t="shared" si="8"/>
        <v>0.60100931390014134</v>
      </c>
      <c r="E40" s="19"/>
      <c r="F40" s="19"/>
      <c r="H40" s="19"/>
      <c r="I40" s="33" t="s">
        <v>20</v>
      </c>
      <c r="J40" s="34">
        <f t="shared" si="9"/>
        <v>0.54448087604356277</v>
      </c>
      <c r="K40" s="19"/>
      <c r="L40" s="19"/>
      <c r="N40" s="19"/>
      <c r="O40" s="33" t="s">
        <v>20</v>
      </c>
      <c r="P40" s="34">
        <f t="shared" si="10"/>
        <v>0.29051417189973838</v>
      </c>
      <c r="Q40" s="19"/>
      <c r="R40" s="19"/>
      <c r="X40" s="117"/>
    </row>
    <row r="41" spans="1:39" ht="15" thickBot="1" x14ac:dyDescent="0.35">
      <c r="A41" s="118"/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20"/>
    </row>
    <row r="48" spans="1:39" ht="15" customHeight="1" thickBot="1" x14ac:dyDescent="0.35">
      <c r="AC48" s="148"/>
      <c r="AD48" s="148"/>
      <c r="AE48" s="148"/>
      <c r="AF48" s="148"/>
      <c r="AG48" s="148"/>
      <c r="AH48" s="148"/>
      <c r="AI48" s="148"/>
      <c r="AJ48" s="148"/>
      <c r="AK48" s="157"/>
      <c r="AL48" s="157"/>
      <c r="AM48" s="157"/>
    </row>
    <row r="49" spans="1:50" ht="31.2" customHeight="1" x14ac:dyDescent="0.3">
      <c r="AC49" s="163" t="s">
        <v>46</v>
      </c>
      <c r="AD49" s="164"/>
      <c r="AE49" s="164"/>
      <c r="AF49" s="165"/>
      <c r="AG49" s="160" t="s">
        <v>47</v>
      </c>
      <c r="AH49" s="161"/>
      <c r="AI49" s="162"/>
      <c r="AJ49" s="99"/>
      <c r="AK49" s="99"/>
      <c r="AL49" s="99"/>
      <c r="AM49" s="99"/>
    </row>
    <row r="50" spans="1:50" ht="15" thickBot="1" x14ac:dyDescent="0.35">
      <c r="AC50" s="110" t="s">
        <v>4</v>
      </c>
      <c r="AD50" s="89" t="s">
        <v>16</v>
      </c>
      <c r="AE50" s="89" t="s">
        <v>19</v>
      </c>
      <c r="AF50" s="123" t="s">
        <v>49</v>
      </c>
      <c r="AG50" s="110" t="s">
        <v>43</v>
      </c>
      <c r="AH50" s="89" t="s">
        <v>44</v>
      </c>
      <c r="AI50" s="123" t="s">
        <v>42</v>
      </c>
      <c r="AP50" s="88">
        <f t="array" ref="AP50:AV56">MMULT(AC51:AI57,AC51:AI57)</f>
        <v>0.20351879963130312</v>
      </c>
      <c r="AQ50" s="88">
        <v>0.15312975995044198</v>
      </c>
      <c r="AR50" s="88">
        <v>0.15333786978581768</v>
      </c>
      <c r="AS50" s="88">
        <v>0.164944891914865</v>
      </c>
      <c r="AT50" s="88">
        <v>0</v>
      </c>
      <c r="AU50" s="88">
        <v>0</v>
      </c>
      <c r="AV50" s="88">
        <v>0</v>
      </c>
    </row>
    <row r="51" spans="1:50" ht="14.4" customHeight="1" x14ac:dyDescent="0.3">
      <c r="B51" s="88">
        <v>0</v>
      </c>
      <c r="C51" s="88" t="s">
        <v>96</v>
      </c>
      <c r="F51" s="88">
        <v>0</v>
      </c>
      <c r="G51" s="88">
        <v>1</v>
      </c>
      <c r="O51" s="88">
        <f t="shared" ref="O51:U57" si="11">D7</f>
        <v>0</v>
      </c>
      <c r="P51" s="88">
        <f t="shared" si="11"/>
        <v>0</v>
      </c>
      <c r="Q51" s="88">
        <f t="shared" si="11"/>
        <v>0</v>
      </c>
      <c r="R51" s="88">
        <f t="shared" si="11"/>
        <v>0</v>
      </c>
      <c r="S51" s="88">
        <f t="shared" si="11"/>
        <v>0.23204813052533269</v>
      </c>
      <c r="T51" s="88">
        <f t="shared" si="11"/>
        <v>0.14058435768300959</v>
      </c>
      <c r="U51" s="88">
        <f t="shared" si="11"/>
        <v>0.14761976454527617</v>
      </c>
      <c r="AA51" s="166" t="s">
        <v>45</v>
      </c>
      <c r="AB51" s="93" t="s">
        <v>4</v>
      </c>
      <c r="AC51" s="91">
        <f t="shared" ref="AC51:AF54" si="12">O51*$K$53</f>
        <v>0</v>
      </c>
      <c r="AD51" s="92">
        <f t="shared" si="12"/>
        <v>0</v>
      </c>
      <c r="AE51" s="92">
        <f t="shared" si="12"/>
        <v>0</v>
      </c>
      <c r="AF51" s="93">
        <f t="shared" si="12"/>
        <v>0</v>
      </c>
      <c r="AG51" s="91">
        <f t="shared" ref="AG51:AI54" si="13">S51*$L$53</f>
        <v>0.23204813052533269</v>
      </c>
      <c r="AH51" s="92">
        <f t="shared" si="13"/>
        <v>0.14058435768300959</v>
      </c>
      <c r="AI51" s="93">
        <f t="shared" si="13"/>
        <v>0.14761976454527617</v>
      </c>
      <c r="AP51" s="88">
        <v>0.18679635580501164</v>
      </c>
      <c r="AQ51" s="88">
        <v>0.37053406295510904</v>
      </c>
      <c r="AR51" s="88">
        <v>0.35776937397847053</v>
      </c>
      <c r="AS51" s="88">
        <v>0.22374264482413486</v>
      </c>
      <c r="AT51" s="88">
        <v>0</v>
      </c>
      <c r="AU51" s="88">
        <v>0</v>
      </c>
      <c r="AV51" s="88">
        <v>0</v>
      </c>
    </row>
    <row r="52" spans="1:50" ht="18" x14ac:dyDescent="0.3">
      <c r="A52" s="111" t="s">
        <v>51</v>
      </c>
      <c r="B52" s="88" t="s">
        <v>52</v>
      </c>
      <c r="C52" s="88">
        <v>0</v>
      </c>
      <c r="F52" s="88">
        <v>1</v>
      </c>
      <c r="G52" s="88">
        <v>0</v>
      </c>
      <c r="O52" s="88">
        <f t="shared" si="11"/>
        <v>0</v>
      </c>
      <c r="P52" s="88">
        <f t="shared" si="11"/>
        <v>0</v>
      </c>
      <c r="Q52" s="88">
        <f t="shared" si="11"/>
        <v>0</v>
      </c>
      <c r="R52" s="88">
        <f t="shared" si="11"/>
        <v>0</v>
      </c>
      <c r="S52" s="88">
        <f t="shared" si="11"/>
        <v>8.9593178732748358E-2</v>
      </c>
      <c r="T52" s="88">
        <f t="shared" si="11"/>
        <v>0.24349925025640867</v>
      </c>
      <c r="U52" s="88">
        <f t="shared" si="11"/>
        <v>0.43442001287776583</v>
      </c>
      <c r="AA52" s="167"/>
      <c r="AB52" s="95" t="s">
        <v>16</v>
      </c>
      <c r="AC52" s="94">
        <f t="shared" si="12"/>
        <v>0</v>
      </c>
      <c r="AD52" s="88">
        <f t="shared" si="12"/>
        <v>0</v>
      </c>
      <c r="AE52" s="88">
        <f t="shared" si="12"/>
        <v>0</v>
      </c>
      <c r="AF52" s="95">
        <f t="shared" si="12"/>
        <v>0</v>
      </c>
      <c r="AG52" s="94">
        <f t="shared" si="13"/>
        <v>8.9593178732748358E-2</v>
      </c>
      <c r="AH52" s="88">
        <f t="shared" si="13"/>
        <v>0.24349925025640867</v>
      </c>
      <c r="AI52" s="95">
        <f t="shared" si="13"/>
        <v>0.43442001287776583</v>
      </c>
      <c r="AP52" s="88">
        <v>8.8984577931198003E-2</v>
      </c>
      <c r="AQ52" s="88">
        <v>0.11283810816482993</v>
      </c>
      <c r="AR52" s="88">
        <v>0.10945001442443558</v>
      </c>
      <c r="AS52" s="88">
        <v>7.8828929113194127E-2</v>
      </c>
      <c r="AT52" s="88">
        <v>0</v>
      </c>
      <c r="AU52" s="88">
        <v>0</v>
      </c>
      <c r="AV52" s="88">
        <v>0</v>
      </c>
      <c r="AX52" s="1" t="s">
        <v>97</v>
      </c>
    </row>
    <row r="53" spans="1:50" x14ac:dyDescent="0.3">
      <c r="K53" s="88">
        <v>0</v>
      </c>
      <c r="L53" s="88">
        <v>1</v>
      </c>
      <c r="O53" s="88">
        <f t="shared" si="11"/>
        <v>0</v>
      </c>
      <c r="P53" s="88">
        <f t="shared" si="11"/>
        <v>0</v>
      </c>
      <c r="Q53" s="88">
        <f t="shared" si="11"/>
        <v>0</v>
      </c>
      <c r="R53" s="88">
        <f t="shared" si="11"/>
        <v>0</v>
      </c>
      <c r="S53" s="88">
        <f t="shared" si="11"/>
        <v>7.7349376841777548E-2</v>
      </c>
      <c r="T53" s="88">
        <f t="shared" si="11"/>
        <v>7.1435516017018988E-2</v>
      </c>
      <c r="U53" s="88">
        <f t="shared" si="11"/>
        <v>0.12744605067721962</v>
      </c>
      <c r="AA53" s="167"/>
      <c r="AB53" s="95" t="s">
        <v>19</v>
      </c>
      <c r="AC53" s="94">
        <f t="shared" si="12"/>
        <v>0</v>
      </c>
      <c r="AD53" s="88">
        <f t="shared" si="12"/>
        <v>0</v>
      </c>
      <c r="AE53" s="88">
        <f t="shared" si="12"/>
        <v>0</v>
      </c>
      <c r="AF53" s="95">
        <f t="shared" si="12"/>
        <v>0</v>
      </c>
      <c r="AG53" s="94">
        <f t="shared" si="13"/>
        <v>7.7349376841777548E-2</v>
      </c>
      <c r="AH53" s="88">
        <f t="shared" si="13"/>
        <v>7.1435516017018988E-2</v>
      </c>
      <c r="AI53" s="95">
        <f t="shared" si="13"/>
        <v>0.12744605067721962</v>
      </c>
      <c r="AP53" s="88">
        <v>0.52070026663248736</v>
      </c>
      <c r="AQ53" s="88">
        <v>0.36349806892961889</v>
      </c>
      <c r="AR53" s="88">
        <v>0.3794427418112763</v>
      </c>
      <c r="AS53" s="88">
        <v>0.53248353414780603</v>
      </c>
      <c r="AT53" s="88">
        <v>0</v>
      </c>
      <c r="AU53" s="88">
        <v>0</v>
      </c>
      <c r="AV53" s="88">
        <v>0</v>
      </c>
    </row>
    <row r="54" spans="1:50" ht="18.600000000000001" thickBot="1" x14ac:dyDescent="0.35">
      <c r="J54" s="111" t="s">
        <v>39</v>
      </c>
      <c r="K54" s="88">
        <v>1</v>
      </c>
      <c r="L54" s="88">
        <v>0</v>
      </c>
      <c r="O54" s="88">
        <f t="shared" si="11"/>
        <v>0</v>
      </c>
      <c r="P54" s="88">
        <f t="shared" si="11"/>
        <v>0</v>
      </c>
      <c r="Q54" s="88">
        <f t="shared" si="11"/>
        <v>0</v>
      </c>
      <c r="R54" s="88">
        <f t="shared" si="11"/>
        <v>0</v>
      </c>
      <c r="S54" s="88">
        <f t="shared" si="11"/>
        <v>0.60100931390014134</v>
      </c>
      <c r="T54" s="88">
        <f t="shared" si="11"/>
        <v>0.54448087604356277</v>
      </c>
      <c r="U54" s="88">
        <f t="shared" si="11"/>
        <v>0.29051417189973838</v>
      </c>
      <c r="AA54" s="168"/>
      <c r="AB54" s="98" t="s">
        <v>40</v>
      </c>
      <c r="AC54" s="96">
        <f t="shared" si="12"/>
        <v>0</v>
      </c>
      <c r="AD54" s="97">
        <f t="shared" si="12"/>
        <v>0</v>
      </c>
      <c r="AE54" s="97">
        <f t="shared" si="12"/>
        <v>0</v>
      </c>
      <c r="AF54" s="98">
        <f t="shared" si="12"/>
        <v>0</v>
      </c>
      <c r="AG54" s="96">
        <f t="shared" si="13"/>
        <v>0.60100931390014134</v>
      </c>
      <c r="AH54" s="97">
        <f t="shared" si="13"/>
        <v>0.54448087604356277</v>
      </c>
      <c r="AI54" s="98">
        <f t="shared" si="13"/>
        <v>0.29051417189973838</v>
      </c>
      <c r="AP54" s="88">
        <v>0</v>
      </c>
      <c r="AQ54" s="88">
        <v>0</v>
      </c>
      <c r="AR54" s="88">
        <v>0</v>
      </c>
      <c r="AS54" s="88">
        <v>0</v>
      </c>
      <c r="AT54" s="88">
        <v>0.32462477893420338</v>
      </c>
      <c r="AU54" s="88">
        <v>0.26073726272009295</v>
      </c>
      <c r="AV54" s="88">
        <v>0.22023418833948466</v>
      </c>
    </row>
    <row r="55" spans="1:50" ht="15" customHeight="1" thickBot="1" x14ac:dyDescent="0.35">
      <c r="O55" s="88">
        <f t="shared" si="11"/>
        <v>0.66941686944898782</v>
      </c>
      <c r="P55" s="88">
        <f t="shared" si="11"/>
        <v>8.0961231999750694E-2</v>
      </c>
      <c r="Q55" s="88">
        <f t="shared" si="11"/>
        <v>8.7946208819056029E-2</v>
      </c>
      <c r="R55" s="88">
        <f t="shared" si="11"/>
        <v>0.25828499437449498</v>
      </c>
      <c r="S55" s="88">
        <f t="shared" si="11"/>
        <v>0</v>
      </c>
      <c r="T55" s="88">
        <f t="shared" si="11"/>
        <v>0</v>
      </c>
      <c r="U55" s="88">
        <f t="shared" si="11"/>
        <v>0</v>
      </c>
      <c r="AA55" s="158" t="s">
        <v>94</v>
      </c>
      <c r="AB55" s="124" t="s">
        <v>43</v>
      </c>
      <c r="AC55" s="91">
        <f t="shared" ref="AC55" si="14">O55*$K$54</f>
        <v>0.66941686944898782</v>
      </c>
      <c r="AD55" s="91">
        <f t="shared" ref="AD55" si="15">P55*$K$54</f>
        <v>8.0961231999750694E-2</v>
      </c>
      <c r="AE55" s="91">
        <f t="shared" ref="AE55" si="16">Q55*$K$54</f>
        <v>8.7946208819056029E-2</v>
      </c>
      <c r="AF55" s="91">
        <f t="shared" ref="AF55" si="17">R55*$K$54</f>
        <v>0.25828499437449498</v>
      </c>
      <c r="AG55" s="91">
        <f t="shared" ref="AG55:AI57" si="18">T55*$L$54</f>
        <v>0</v>
      </c>
      <c r="AH55" s="92">
        <f t="shared" si="18"/>
        <v>0</v>
      </c>
      <c r="AI55" s="93">
        <f t="shared" si="18"/>
        <v>0</v>
      </c>
      <c r="AP55" s="88">
        <v>0</v>
      </c>
      <c r="AQ55" s="88">
        <v>0</v>
      </c>
      <c r="AR55" s="88">
        <v>0</v>
      </c>
      <c r="AS55" s="88">
        <v>0</v>
      </c>
      <c r="AT55" s="88">
        <v>0.43888865544901556</v>
      </c>
      <c r="AU55" s="88">
        <v>0.42239703840124038</v>
      </c>
      <c r="AV55" s="88">
        <v>0.31080121783730524</v>
      </c>
    </row>
    <row r="56" spans="1:50" ht="15" thickBot="1" x14ac:dyDescent="0.35">
      <c r="O56" s="88">
        <f t="shared" si="11"/>
        <v>8.7946208819056029E-2</v>
      </c>
      <c r="P56" s="88">
        <f t="shared" si="11"/>
        <v>0.18839409663911982</v>
      </c>
      <c r="Q56" s="88">
        <f t="shared" si="11"/>
        <v>0.24263692173195622</v>
      </c>
      <c r="R56" s="88">
        <f t="shared" si="11"/>
        <v>0.63698557174475723</v>
      </c>
      <c r="S56" s="88">
        <f t="shared" si="11"/>
        <v>0</v>
      </c>
      <c r="T56" s="88">
        <f t="shared" si="11"/>
        <v>0</v>
      </c>
      <c r="U56" s="88">
        <f t="shared" si="11"/>
        <v>0</v>
      </c>
      <c r="AA56" s="158"/>
      <c r="AB56" s="90" t="s">
        <v>44</v>
      </c>
      <c r="AC56" s="91">
        <f t="shared" ref="AC56:AC57" si="19">O56*$K$54</f>
        <v>8.7946208819056029E-2</v>
      </c>
      <c r="AD56" s="91">
        <f t="shared" ref="AD56:AD57" si="20">P56*$K$54</f>
        <v>0.18839409663911982</v>
      </c>
      <c r="AE56" s="91">
        <f t="shared" ref="AE56:AE57" si="21">Q56*$K$54</f>
        <v>0.24263692173195622</v>
      </c>
      <c r="AF56" s="91">
        <f t="shared" ref="AF56:AF57" si="22">R56*$K$54</f>
        <v>0.63698557174475723</v>
      </c>
      <c r="AG56" s="94">
        <f t="shared" si="18"/>
        <v>0</v>
      </c>
      <c r="AH56" s="88">
        <f t="shared" si="18"/>
        <v>0</v>
      </c>
      <c r="AI56" s="95">
        <f t="shared" si="18"/>
        <v>0</v>
      </c>
      <c r="AP56" s="88">
        <v>0</v>
      </c>
      <c r="AQ56" s="88">
        <v>0</v>
      </c>
      <c r="AR56" s="88">
        <v>0</v>
      </c>
      <c r="AS56" s="88">
        <v>0</v>
      </c>
      <c r="AT56" s="88">
        <v>0.23648656561678105</v>
      </c>
      <c r="AU56" s="88">
        <v>0.31686569887866667</v>
      </c>
      <c r="AV56" s="88">
        <v>0.4689645938232101</v>
      </c>
    </row>
    <row r="57" spans="1:50" ht="15" thickBot="1" x14ac:dyDescent="0.35">
      <c r="C57" s="149"/>
      <c r="D57" s="149"/>
      <c r="O57" s="88">
        <f t="shared" si="11"/>
        <v>0.24263692173195622</v>
      </c>
      <c r="P57" s="88">
        <f t="shared" si="11"/>
        <v>0.73064467136112943</v>
      </c>
      <c r="Q57" s="88">
        <f t="shared" si="11"/>
        <v>0.66941686944898782</v>
      </c>
      <c r="R57" s="88">
        <f t="shared" si="11"/>
        <v>0.10472943388074786</v>
      </c>
      <c r="S57" s="88">
        <f t="shared" si="11"/>
        <v>0</v>
      </c>
      <c r="T57" s="88">
        <f t="shared" si="11"/>
        <v>0</v>
      </c>
      <c r="U57" s="88">
        <f t="shared" si="11"/>
        <v>0</v>
      </c>
      <c r="AA57" s="159"/>
      <c r="AB57" s="122" t="s">
        <v>42</v>
      </c>
      <c r="AC57" s="91">
        <f t="shared" si="19"/>
        <v>0.24263692173195622</v>
      </c>
      <c r="AD57" s="91">
        <f t="shared" si="20"/>
        <v>0.73064467136112943</v>
      </c>
      <c r="AE57" s="91">
        <f t="shared" si="21"/>
        <v>0.66941686944898782</v>
      </c>
      <c r="AF57" s="91">
        <f t="shared" si="22"/>
        <v>0.10472943388074786</v>
      </c>
      <c r="AG57" s="96">
        <f t="shared" si="18"/>
        <v>0</v>
      </c>
      <c r="AH57" s="97">
        <f t="shared" si="18"/>
        <v>0</v>
      </c>
      <c r="AI57" s="98">
        <f t="shared" si="18"/>
        <v>0</v>
      </c>
    </row>
    <row r="58" spans="1:50" x14ac:dyDescent="0.3">
      <c r="C58" s="149"/>
      <c r="D58" s="149"/>
      <c r="AA58" s="142"/>
    </row>
    <row r="59" spans="1:50" x14ac:dyDescent="0.3">
      <c r="AA59" s="139"/>
      <c r="AP59" s="88">
        <f t="array" ref="AP59:AV65">MMULT(AC51:AI57,AP50:AV56)</f>
        <v>0</v>
      </c>
      <c r="AQ59" s="88">
        <v>0</v>
      </c>
      <c r="AR59" s="88">
        <v>0</v>
      </c>
      <c r="AS59" s="88">
        <v>0</v>
      </c>
      <c r="AT59" s="88">
        <v>0.17193954392901109</v>
      </c>
      <c r="AU59" s="88">
        <v>0.16666165056427715</v>
      </c>
      <c r="AV59" s="88">
        <v>0.16402716417894947</v>
      </c>
    </row>
    <row r="60" spans="1:50" x14ac:dyDescent="0.3">
      <c r="AA60" s="139"/>
      <c r="AP60" s="88">
        <v>0</v>
      </c>
      <c r="AQ60" s="88">
        <v>0</v>
      </c>
      <c r="AR60" s="88">
        <v>0</v>
      </c>
      <c r="AS60" s="88">
        <v>0</v>
      </c>
      <c r="AT60" s="88">
        <v>0.23868772126867022</v>
      </c>
      <c r="AU60" s="88">
        <v>0.26386644332979098</v>
      </c>
      <c r="AV60" s="88">
        <v>0.29913894940901897</v>
      </c>
    </row>
    <row r="61" spans="1:50" x14ac:dyDescent="0.3">
      <c r="AP61" s="88">
        <v>0</v>
      </c>
      <c r="AQ61" s="88">
        <v>0</v>
      </c>
      <c r="AR61" s="88">
        <v>0</v>
      </c>
      <c r="AS61" s="88">
        <v>0</v>
      </c>
      <c r="AT61" s="88">
        <v>8.6601040760054399E-2</v>
      </c>
      <c r="AU61" s="88">
        <v>9.0725297110246378E-2</v>
      </c>
      <c r="AV61" s="88">
        <v>9.9004907992454178E-2</v>
      </c>
    </row>
    <row r="62" spans="1:50" x14ac:dyDescent="0.3">
      <c r="AP62" s="88">
        <v>0</v>
      </c>
      <c r="AQ62" s="88">
        <v>0</v>
      </c>
      <c r="AR62" s="88">
        <v>0</v>
      </c>
      <c r="AS62" s="88">
        <v>0</v>
      </c>
      <c r="AT62" s="88">
        <v>0.50277169404226429</v>
      </c>
      <c r="AU62" s="88">
        <v>0.47874660899568544</v>
      </c>
      <c r="AV62" s="88">
        <v>0.43782897841957735</v>
      </c>
      <c r="AX62" s="1" t="s">
        <v>99</v>
      </c>
    </row>
    <row r="63" spans="1:50" x14ac:dyDescent="0.3">
      <c r="AP63" s="88">
        <v>0.29367710253262302</v>
      </c>
      <c r="AQ63" s="88">
        <v>0.23631631927225644</v>
      </c>
      <c r="AR63" s="88">
        <v>0.23924248630706368</v>
      </c>
      <c r="AS63" s="88">
        <v>0.27299658543574401</v>
      </c>
      <c r="AT63" s="88">
        <v>0</v>
      </c>
      <c r="AU63" s="88">
        <v>0</v>
      </c>
      <c r="AV63" s="88">
        <v>0</v>
      </c>
    </row>
    <row r="64" spans="1:50" x14ac:dyDescent="0.3">
      <c r="AP64" s="88">
        <v>0.40635953867772873</v>
      </c>
      <c r="AQ64" s="88">
        <v>0.34219532839388433</v>
      </c>
      <c r="AR64" s="88">
        <v>0.34914328875238754</v>
      </c>
      <c r="AS64" s="88">
        <v>0.41496920850653285</v>
      </c>
      <c r="AT64" s="88">
        <v>0</v>
      </c>
      <c r="AU64" s="88">
        <v>0</v>
      </c>
      <c r="AV64" s="88">
        <v>0</v>
      </c>
    </row>
    <row r="65" spans="42:50" x14ac:dyDescent="0.3">
      <c r="AP65" s="88">
        <v>0.29996335878964842</v>
      </c>
      <c r="AQ65" s="88">
        <v>0.42148835233385906</v>
      </c>
      <c r="AR65" s="88">
        <v>0.41161422494054895</v>
      </c>
      <c r="AS65" s="88">
        <v>0.3120342060577232</v>
      </c>
      <c r="AT65" s="88">
        <v>0</v>
      </c>
      <c r="AU65" s="88">
        <v>0</v>
      </c>
      <c r="AV65" s="88">
        <v>0</v>
      </c>
    </row>
    <row r="68" spans="42:50" x14ac:dyDescent="0.3">
      <c r="AP68" s="88">
        <f t="array" ref="AP68:AV74">MMULT(AP50:AV56,AP59:AV65)</f>
        <v>0</v>
      </c>
      <c r="AQ68" s="88">
        <v>0</v>
      </c>
      <c r="AR68" s="88">
        <v>0</v>
      </c>
      <c r="AS68" s="88">
        <v>0</v>
      </c>
      <c r="AT68" s="88">
        <v>0.16775196489361188</v>
      </c>
      <c r="AU68" s="88">
        <v>0.16720301566345322</v>
      </c>
      <c r="AV68" s="88">
        <v>0.16658854228797371</v>
      </c>
    </row>
    <row r="69" spans="42:50" x14ac:dyDescent="0.3">
      <c r="AP69" s="88">
        <v>0</v>
      </c>
      <c r="AQ69" s="88">
        <v>0</v>
      </c>
      <c r="AR69" s="88">
        <v>0</v>
      </c>
      <c r="AS69" s="88">
        <v>0</v>
      </c>
      <c r="AT69" s="88">
        <v>0.26403428007022756</v>
      </c>
      <c r="AU69" s="88">
        <v>0.26847805955078091</v>
      </c>
      <c r="AV69" s="88">
        <v>0.27486278439980644</v>
      </c>
    </row>
    <row r="70" spans="42:50" x14ac:dyDescent="0.3">
      <c r="AP70" s="88">
        <v>0</v>
      </c>
      <c r="AQ70" s="88">
        <v>0</v>
      </c>
      <c r="AR70" s="88">
        <v>0</v>
      </c>
      <c r="AS70" s="88">
        <v>0</v>
      </c>
      <c r="AT70" s="88">
        <v>9.1344478046473998E-2</v>
      </c>
      <c r="AU70" s="88">
        <v>9.2273474487375551E-2</v>
      </c>
      <c r="AV70" s="88">
        <v>9.3699839214846703E-2</v>
      </c>
    </row>
    <row r="71" spans="42:50" x14ac:dyDescent="0.3">
      <c r="AP71" s="88">
        <v>0</v>
      </c>
      <c r="AQ71" s="88">
        <v>0</v>
      </c>
      <c r="AR71" s="88">
        <v>0</v>
      </c>
      <c r="AS71" s="88">
        <v>0</v>
      </c>
      <c r="AT71" s="88">
        <v>0.47686927698968656</v>
      </c>
      <c r="AU71" s="88">
        <v>0.47204545029839029</v>
      </c>
      <c r="AV71" s="88">
        <v>0.46484883409737315</v>
      </c>
      <c r="AX71" s="1" t="s">
        <v>100</v>
      </c>
    </row>
    <row r="72" spans="42:50" x14ac:dyDescent="0.3">
      <c r="AP72" s="88">
        <v>0.26735012513734469</v>
      </c>
      <c r="AQ72" s="88">
        <v>0.25876335131411976</v>
      </c>
      <c r="AR72" s="88">
        <v>0.25935022937425611</v>
      </c>
      <c r="AS72" s="88">
        <v>0.26553999184126587</v>
      </c>
      <c r="AT72" s="88">
        <v>0</v>
      </c>
      <c r="AU72" s="88">
        <v>0</v>
      </c>
      <c r="AV72" s="88">
        <v>0</v>
      </c>
    </row>
    <row r="73" spans="42:50" x14ac:dyDescent="0.3">
      <c r="AP73" s="88">
        <v>0.39376559154866375</v>
      </c>
      <c r="AQ73" s="88">
        <v>0.37925793810398012</v>
      </c>
      <c r="AR73" s="88">
        <v>0.38040810667894542</v>
      </c>
      <c r="AS73" s="88">
        <v>0.39207748027456929</v>
      </c>
      <c r="AT73" s="88">
        <v>0</v>
      </c>
      <c r="AU73" s="88">
        <v>0</v>
      </c>
      <c r="AV73" s="88">
        <v>0</v>
      </c>
    </row>
    <row r="74" spans="42:50" x14ac:dyDescent="0.3">
      <c r="AP74" s="88">
        <v>0.33888428331399167</v>
      </c>
      <c r="AQ74" s="88">
        <v>0.36197871058189995</v>
      </c>
      <c r="AR74" s="88">
        <v>0.36024166394679857</v>
      </c>
      <c r="AS74" s="88">
        <v>0.3423825278841649</v>
      </c>
      <c r="AT74" s="88">
        <v>0</v>
      </c>
      <c r="AU74" s="88">
        <v>0</v>
      </c>
      <c r="AV74" s="88">
        <v>0</v>
      </c>
    </row>
    <row r="77" spans="42:50" x14ac:dyDescent="0.3">
      <c r="AP77" s="88">
        <f t="array" ref="AP77:AV83">MMULT(AP59:AV65,AP68:AV74)</f>
        <v>0.1671799099852081</v>
      </c>
      <c r="AQ77" s="88">
        <v>0.16707374795440777</v>
      </c>
      <c r="AR77" s="88">
        <v>0.16708142165993817</v>
      </c>
      <c r="AS77" s="88">
        <v>0.16716114021700279</v>
      </c>
      <c r="AT77" s="88">
        <v>0</v>
      </c>
      <c r="AU77" s="88">
        <v>0</v>
      </c>
      <c r="AV77" s="88">
        <v>0</v>
      </c>
    </row>
    <row r="78" spans="42:50" x14ac:dyDescent="0.3">
      <c r="AP78" s="88">
        <v>0.26908820677929957</v>
      </c>
      <c r="AQ78" s="88">
        <v>0.27011900909699976</v>
      </c>
      <c r="AR78" s="88">
        <v>0.27004296226944335</v>
      </c>
      <c r="AS78" s="88">
        <v>0.26925717547532313</v>
      </c>
      <c r="AT78" s="88">
        <v>0</v>
      </c>
      <c r="AU78" s="88">
        <v>0</v>
      </c>
      <c r="AV78" s="88">
        <v>0</v>
      </c>
    </row>
    <row r="79" spans="42:50" x14ac:dyDescent="0.3">
      <c r="AP79" s="88">
        <v>9.2428506658859794E-2</v>
      </c>
      <c r="AQ79" s="88">
        <v>9.2655133586653587E-2</v>
      </c>
      <c r="AR79" s="88">
        <v>9.2638331080864417E-2</v>
      </c>
      <c r="AS79" s="88">
        <v>9.2464936216412663E-2</v>
      </c>
      <c r="AT79" s="88">
        <v>0</v>
      </c>
      <c r="AU79" s="88">
        <v>0</v>
      </c>
      <c r="AV79" s="88">
        <v>0</v>
      </c>
    </row>
    <row r="80" spans="42:50" x14ac:dyDescent="0.3">
      <c r="AP80" s="88">
        <v>0.47130337657663263</v>
      </c>
      <c r="AQ80" s="88">
        <v>0.47015210936193874</v>
      </c>
      <c r="AR80" s="88">
        <v>0.47023728498975415</v>
      </c>
      <c r="AS80" s="88">
        <v>0.47111674809126142</v>
      </c>
      <c r="AT80" s="88">
        <v>0</v>
      </c>
      <c r="AU80" s="88">
        <v>0</v>
      </c>
      <c r="AV80" s="88">
        <v>0</v>
      </c>
      <c r="AX80" s="1" t="s">
        <v>98</v>
      </c>
    </row>
    <row r="81" spans="31:50" x14ac:dyDescent="0.3">
      <c r="AP81" s="88">
        <v>0</v>
      </c>
      <c r="AQ81" s="88">
        <v>0</v>
      </c>
      <c r="AR81" s="88">
        <v>0</v>
      </c>
      <c r="AS81" s="88">
        <v>0</v>
      </c>
      <c r="AT81" s="88">
        <v>0.26369768457766241</v>
      </c>
      <c r="AU81" s="88">
        <v>0.26349197557164783</v>
      </c>
      <c r="AV81" s="88">
        <v>0.26319692888125307</v>
      </c>
    </row>
    <row r="82" spans="31:50" x14ac:dyDescent="0.3">
      <c r="AP82" s="88">
        <v>0</v>
      </c>
      <c r="AQ82" s="88">
        <v>0</v>
      </c>
      <c r="AR82" s="88">
        <v>0</v>
      </c>
      <c r="AS82" s="88">
        <v>0</v>
      </c>
      <c r="AT82" s="88">
        <v>0.38829728615033404</v>
      </c>
      <c r="AU82" s="88">
        <v>0.38791746930162296</v>
      </c>
      <c r="AV82" s="88">
        <v>0.38736422674369853</v>
      </c>
    </row>
    <row r="83" spans="31:50" x14ac:dyDescent="0.3">
      <c r="AP83" s="88">
        <v>0</v>
      </c>
      <c r="AQ83" s="88">
        <v>0</v>
      </c>
      <c r="AR83" s="88">
        <v>0</v>
      </c>
      <c r="AS83" s="88">
        <v>0</v>
      </c>
      <c r="AT83" s="88">
        <v>0.34800502927200361</v>
      </c>
      <c r="AU83" s="88">
        <v>0.34859055512672921</v>
      </c>
      <c r="AV83" s="88">
        <v>0.34943884437504846</v>
      </c>
    </row>
    <row r="85" spans="31:50" ht="15" thickBot="1" x14ac:dyDescent="0.35"/>
    <row r="86" spans="31:50" ht="15" thickBot="1" x14ac:dyDescent="0.35">
      <c r="AG86" s="170" t="s">
        <v>46</v>
      </c>
      <c r="AH86" s="171"/>
      <c r="AI86" s="171"/>
      <c r="AJ86" s="172"/>
      <c r="AK86" s="170" t="s">
        <v>47</v>
      </c>
      <c r="AL86" s="171"/>
      <c r="AM86" s="172"/>
      <c r="AP86" s="88">
        <f t="array" ref="AP86:AV92">MMULT(AP68:AV74,AP77:AV83)</f>
        <v>0</v>
      </c>
      <c r="AQ86" s="88">
        <v>0</v>
      </c>
      <c r="AR86" s="88">
        <v>0</v>
      </c>
      <c r="AS86" s="88">
        <v>0</v>
      </c>
      <c r="AT86" s="88">
        <v>0.16713393247937613</v>
      </c>
      <c r="AU86" s="88">
        <v>0.16713345976552726</v>
      </c>
      <c r="AV86" s="88">
        <v>0.16713277654871592</v>
      </c>
    </row>
    <row r="87" spans="31:50" ht="15" thickBot="1" x14ac:dyDescent="0.35">
      <c r="AG87" s="100" t="s">
        <v>4</v>
      </c>
      <c r="AH87" s="140" t="s">
        <v>16</v>
      </c>
      <c r="AI87" s="140" t="s">
        <v>19</v>
      </c>
      <c r="AJ87" s="141" t="s">
        <v>49</v>
      </c>
      <c r="AK87" s="100" t="s">
        <v>43</v>
      </c>
      <c r="AL87" s="140" t="s">
        <v>44</v>
      </c>
      <c r="AM87" s="141" t="s">
        <v>42</v>
      </c>
      <c r="AP87" s="88">
        <v>0</v>
      </c>
      <c r="AQ87" s="88">
        <v>0</v>
      </c>
      <c r="AR87" s="88">
        <v>0</v>
      </c>
      <c r="AS87" s="88">
        <v>0</v>
      </c>
      <c r="AT87" s="88">
        <v>0.26952816154896408</v>
      </c>
      <c r="AU87" s="88">
        <v>0.26953281409589835</v>
      </c>
      <c r="AV87" s="88">
        <v>0.26953954131176988</v>
      </c>
    </row>
    <row r="88" spans="31:50" x14ac:dyDescent="0.3">
      <c r="AE88" s="166" t="s">
        <v>45</v>
      </c>
      <c r="AF88" s="121" t="s">
        <v>4</v>
      </c>
      <c r="AG88" s="113">
        <f t="shared" ref="AG88:AM94" si="23">AP86</f>
        <v>0</v>
      </c>
      <c r="AH88" s="114">
        <f t="shared" si="23"/>
        <v>0</v>
      </c>
      <c r="AI88" s="114">
        <f t="shared" si="23"/>
        <v>0</v>
      </c>
      <c r="AJ88" s="114">
        <f t="shared" si="23"/>
        <v>0</v>
      </c>
      <c r="AK88" s="113">
        <f t="shared" si="23"/>
        <v>0.16713393247937613</v>
      </c>
      <c r="AL88" s="114">
        <f t="shared" si="23"/>
        <v>0.16713345976552726</v>
      </c>
      <c r="AM88" s="115">
        <f t="shared" si="23"/>
        <v>0.16713277654871592</v>
      </c>
      <c r="AP88" s="88">
        <v>0</v>
      </c>
      <c r="AQ88" s="88">
        <v>0</v>
      </c>
      <c r="AR88" s="88">
        <v>0</v>
      </c>
      <c r="AS88" s="88">
        <v>0</v>
      </c>
      <c r="AT88" s="88">
        <v>9.2524882375665085E-2</v>
      </c>
      <c r="AU88" s="88">
        <v>9.2525908652025729E-2</v>
      </c>
      <c r="AV88" s="88">
        <v>9.2527392719213508E-2</v>
      </c>
    </row>
    <row r="89" spans="31:50" x14ac:dyDescent="0.3">
      <c r="AE89" s="167"/>
      <c r="AF89" s="90" t="s">
        <v>16</v>
      </c>
      <c r="AG89" s="116">
        <f t="shared" si="23"/>
        <v>0</v>
      </c>
      <c r="AH89" s="1">
        <f t="shared" si="23"/>
        <v>0</v>
      </c>
      <c r="AI89" s="1">
        <f t="shared" si="23"/>
        <v>0</v>
      </c>
      <c r="AJ89" s="1">
        <f t="shared" si="23"/>
        <v>0</v>
      </c>
      <c r="AK89" s="116">
        <f t="shared" si="23"/>
        <v>0.26952816154896408</v>
      </c>
      <c r="AL89" s="1">
        <f t="shared" si="23"/>
        <v>0.26953281409589835</v>
      </c>
      <c r="AM89" s="117">
        <f t="shared" si="23"/>
        <v>0.26953954131176988</v>
      </c>
      <c r="AN89" s="146" t="s">
        <v>53</v>
      </c>
      <c r="AP89" s="88">
        <v>0</v>
      </c>
      <c r="AQ89" s="88">
        <v>0</v>
      </c>
      <c r="AR89" s="88">
        <v>0</v>
      </c>
      <c r="AS89" s="88">
        <v>0</v>
      </c>
      <c r="AT89" s="88">
        <v>0.47081302359599475</v>
      </c>
      <c r="AU89" s="88">
        <v>0.47080781748654865</v>
      </c>
      <c r="AV89" s="88">
        <v>0.47080028942030072</v>
      </c>
      <c r="AX89" s="1" t="s">
        <v>101</v>
      </c>
    </row>
    <row r="90" spans="31:50" x14ac:dyDescent="0.3">
      <c r="AE90" s="167"/>
      <c r="AF90" s="90" t="s">
        <v>19</v>
      </c>
      <c r="AG90" s="116">
        <f t="shared" si="23"/>
        <v>0</v>
      </c>
      <c r="AH90" s="1">
        <f t="shared" si="23"/>
        <v>0</v>
      </c>
      <c r="AI90" s="1">
        <f t="shared" si="23"/>
        <v>0</v>
      </c>
      <c r="AJ90" s="1">
        <f t="shared" si="23"/>
        <v>0</v>
      </c>
      <c r="AK90" s="116">
        <f t="shared" si="23"/>
        <v>9.2524882375665085E-2</v>
      </c>
      <c r="AL90" s="1">
        <f t="shared" si="23"/>
        <v>9.2525908652025729E-2</v>
      </c>
      <c r="AM90" s="117">
        <f t="shared" si="23"/>
        <v>9.2527392719213508E-2</v>
      </c>
      <c r="AP90" s="88">
        <v>0.26344698521392912</v>
      </c>
      <c r="AQ90" s="88">
        <v>0.26343840490288906</v>
      </c>
      <c r="AR90" s="88">
        <v>0.26343903813885228</v>
      </c>
      <c r="AS90" s="88">
        <v>0.26344558070772539</v>
      </c>
      <c r="AT90" s="88">
        <v>0</v>
      </c>
      <c r="AU90" s="88">
        <v>0</v>
      </c>
      <c r="AV90" s="88">
        <v>0</v>
      </c>
    </row>
    <row r="91" spans="31:50" ht="15" thickBot="1" x14ac:dyDescent="0.35">
      <c r="AE91" s="168"/>
      <c r="AF91" s="122" t="s">
        <v>40</v>
      </c>
      <c r="AG91" s="118">
        <f t="shared" si="23"/>
        <v>0</v>
      </c>
      <c r="AH91" s="119">
        <f t="shared" si="23"/>
        <v>0</v>
      </c>
      <c r="AI91" s="119">
        <f t="shared" si="23"/>
        <v>0</v>
      </c>
      <c r="AJ91" s="119">
        <f t="shared" si="23"/>
        <v>0</v>
      </c>
      <c r="AK91" s="118">
        <f t="shared" si="23"/>
        <v>0.47081302359599475</v>
      </c>
      <c r="AL91" s="119">
        <f t="shared" si="23"/>
        <v>0.47080781748654865</v>
      </c>
      <c r="AM91" s="120">
        <f t="shared" si="23"/>
        <v>0.47080028942030072</v>
      </c>
      <c r="AP91" s="88">
        <v>0.38783152817591415</v>
      </c>
      <c r="AQ91" s="88">
        <v>0.38781548995452442</v>
      </c>
      <c r="AR91" s="88">
        <v>0.38781667386882357</v>
      </c>
      <c r="AS91" s="88">
        <v>0.38782890527901559</v>
      </c>
      <c r="AT91" s="88">
        <v>0</v>
      </c>
      <c r="AU91" s="88">
        <v>0</v>
      </c>
      <c r="AV91" s="88">
        <v>0</v>
      </c>
    </row>
    <row r="92" spans="31:50" x14ac:dyDescent="0.3">
      <c r="AE92" s="158" t="s">
        <v>94</v>
      </c>
      <c r="AF92" s="124" t="s">
        <v>43</v>
      </c>
      <c r="AG92" s="116">
        <f t="shared" si="23"/>
        <v>0.26344698521392912</v>
      </c>
      <c r="AH92" s="1">
        <f t="shared" si="23"/>
        <v>0.26343840490288906</v>
      </c>
      <c r="AI92" s="1">
        <f t="shared" si="23"/>
        <v>0.26343903813885228</v>
      </c>
      <c r="AJ92" s="1">
        <f t="shared" si="23"/>
        <v>0.26344558070772539</v>
      </c>
      <c r="AK92" s="116">
        <f t="shared" si="23"/>
        <v>0</v>
      </c>
      <c r="AL92" s="1">
        <f t="shared" si="23"/>
        <v>0</v>
      </c>
      <c r="AM92" s="117">
        <f t="shared" si="23"/>
        <v>0</v>
      </c>
      <c r="AP92" s="88">
        <v>0.34872148661015678</v>
      </c>
      <c r="AQ92" s="88">
        <v>0.34874610514258636</v>
      </c>
      <c r="AR92" s="88">
        <v>0.34874428799232426</v>
      </c>
      <c r="AS92" s="88">
        <v>0.34872551401325902</v>
      </c>
      <c r="AT92" s="88">
        <v>0</v>
      </c>
      <c r="AU92" s="88">
        <v>0</v>
      </c>
      <c r="AV92" s="88">
        <v>0</v>
      </c>
    </row>
    <row r="93" spans="31:50" x14ac:dyDescent="0.3">
      <c r="AE93" s="158"/>
      <c r="AF93" s="90" t="s">
        <v>44</v>
      </c>
      <c r="AG93" s="153">
        <f t="shared" si="23"/>
        <v>0.38783152817591415</v>
      </c>
      <c r="AH93" s="154">
        <f t="shared" si="23"/>
        <v>0.38781548995452442</v>
      </c>
      <c r="AI93" s="154">
        <f t="shared" si="23"/>
        <v>0.38781667386882357</v>
      </c>
      <c r="AJ93" s="154">
        <f t="shared" si="23"/>
        <v>0.38782890527901559</v>
      </c>
      <c r="AK93" s="116">
        <f t="shared" si="23"/>
        <v>0</v>
      </c>
      <c r="AL93" s="1">
        <f t="shared" si="23"/>
        <v>0</v>
      </c>
      <c r="AM93" s="117">
        <f t="shared" si="23"/>
        <v>0</v>
      </c>
    </row>
    <row r="94" spans="31:50" ht="15" thickBot="1" x14ac:dyDescent="0.35">
      <c r="AE94" s="159"/>
      <c r="AF94" s="122" t="s">
        <v>42</v>
      </c>
      <c r="AG94" s="118">
        <f t="shared" si="23"/>
        <v>0.34872148661015678</v>
      </c>
      <c r="AH94" s="119">
        <f t="shared" si="23"/>
        <v>0.34874610514258636</v>
      </c>
      <c r="AI94" s="119">
        <f t="shared" si="23"/>
        <v>0.34874428799232426</v>
      </c>
      <c r="AJ94" s="119">
        <f t="shared" si="23"/>
        <v>0.34872551401325902</v>
      </c>
      <c r="AK94" s="118">
        <f t="shared" si="23"/>
        <v>0</v>
      </c>
      <c r="AL94" s="119">
        <f t="shared" si="23"/>
        <v>0</v>
      </c>
      <c r="AM94" s="120">
        <f t="shared" si="23"/>
        <v>0</v>
      </c>
    </row>
    <row r="121" spans="27:39" x14ac:dyDescent="0.3">
      <c r="AC121" s="99"/>
      <c r="AD121" s="99"/>
      <c r="AE121" s="99"/>
      <c r="AF121" s="99"/>
      <c r="AG121" s="99"/>
      <c r="AH121" s="99"/>
      <c r="AI121" s="99"/>
      <c r="AJ121" s="99"/>
      <c r="AK121" s="99"/>
      <c r="AL121" s="99"/>
      <c r="AM121" s="99"/>
    </row>
    <row r="122" spans="27:39" x14ac:dyDescent="0.3">
      <c r="AA122" s="139"/>
    </row>
    <row r="123" spans="27:39" x14ac:dyDescent="0.3">
      <c r="AA123" s="139"/>
    </row>
    <row r="124" spans="27:39" x14ac:dyDescent="0.3">
      <c r="AA124" s="139"/>
    </row>
    <row r="125" spans="27:39" x14ac:dyDescent="0.3">
      <c r="AA125" s="139"/>
    </row>
    <row r="126" spans="27:39" x14ac:dyDescent="0.3">
      <c r="AA126" s="139"/>
    </row>
    <row r="127" spans="27:39" x14ac:dyDescent="0.3">
      <c r="AA127" s="139"/>
    </row>
    <row r="128" spans="27:39" x14ac:dyDescent="0.3">
      <c r="AA128" s="139"/>
    </row>
    <row r="129" spans="27:27" x14ac:dyDescent="0.3">
      <c r="AA129" s="139"/>
    </row>
    <row r="130" spans="27:27" x14ac:dyDescent="0.3">
      <c r="AA130" s="139"/>
    </row>
    <row r="131" spans="27:27" x14ac:dyDescent="0.3">
      <c r="AA131" s="139"/>
    </row>
    <row r="132" spans="27:27" x14ac:dyDescent="0.3">
      <c r="AA132" s="139"/>
    </row>
  </sheetData>
  <mergeCells count="15">
    <mergeCell ref="AK48:AM48"/>
    <mergeCell ref="AA51:AA54"/>
    <mergeCell ref="AA55:AA57"/>
    <mergeCell ref="AE88:AE91"/>
    <mergeCell ref="AE92:AE94"/>
    <mergeCell ref="AG86:AJ86"/>
    <mergeCell ref="AK86:AM86"/>
    <mergeCell ref="L5:N5"/>
    <mergeCell ref="B11:B13"/>
    <mergeCell ref="H5:J5"/>
    <mergeCell ref="AC49:AF49"/>
    <mergeCell ref="AG49:AI49"/>
    <mergeCell ref="B7:B10"/>
    <mergeCell ref="B15:B17"/>
    <mergeCell ref="D5:G5"/>
  </mergeCells>
  <phoneticPr fontId="1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D4AE7-3670-4790-B109-080C0CB40416}">
  <dimension ref="A1:AR97"/>
  <sheetViews>
    <sheetView topLeftCell="A43" zoomScale="85" zoomScaleNormal="70" workbookViewId="0">
      <selection activeCell="C100" sqref="C100"/>
    </sheetView>
  </sheetViews>
  <sheetFormatPr defaultRowHeight="14.4" x14ac:dyDescent="0.3"/>
  <cols>
    <col min="1" max="1" width="15.44140625" style="1" customWidth="1"/>
    <col min="2" max="2" width="15.21875" style="1" bestFit="1" customWidth="1"/>
    <col min="3" max="3" width="8.88671875" style="1"/>
    <col min="4" max="4" width="10.88671875" style="1" bestFit="1" customWidth="1"/>
    <col min="5" max="5" width="8.88671875" style="1"/>
    <col min="6" max="6" width="12.109375" style="1" bestFit="1" customWidth="1"/>
    <col min="7" max="7" width="9.6640625" style="1" bestFit="1" customWidth="1"/>
    <col min="8" max="8" width="13.6640625" style="1" bestFit="1" customWidth="1"/>
    <col min="9" max="12" width="8.88671875" style="1"/>
    <col min="13" max="13" width="13.109375" style="1" bestFit="1" customWidth="1"/>
    <col min="14" max="14" width="12.5546875" style="1" bestFit="1" customWidth="1"/>
    <col min="15" max="16" width="13.77734375" style="1" bestFit="1" customWidth="1"/>
    <col min="17" max="17" width="13.109375" style="1" bestFit="1" customWidth="1"/>
    <col min="18" max="18" width="13.77734375" style="1" bestFit="1" customWidth="1"/>
    <col min="19" max="37" width="8.88671875" style="1"/>
    <col min="38" max="38" width="9" style="1" bestFit="1" customWidth="1"/>
    <col min="39" max="40" width="12" style="1" bestFit="1" customWidth="1"/>
    <col min="41" max="42" width="9" style="1" bestFit="1" customWidth="1"/>
    <col min="43" max="43" width="12" style="1" bestFit="1" customWidth="1"/>
    <col min="44" max="16384" width="8.88671875" style="1"/>
  </cols>
  <sheetData>
    <row r="1" spans="1:9" ht="18" x14ac:dyDescent="0.3">
      <c r="A1" s="130" t="s">
        <v>64</v>
      </c>
      <c r="B1" s="125"/>
      <c r="C1" s="125"/>
      <c r="D1" s="125"/>
      <c r="E1" s="125"/>
      <c r="F1" s="125"/>
      <c r="G1" s="125"/>
      <c r="H1" s="125"/>
      <c r="I1" s="125"/>
    </row>
    <row r="2" spans="1:9" x14ac:dyDescent="0.3">
      <c r="A2" s="125"/>
      <c r="B2" s="126" t="s">
        <v>54</v>
      </c>
      <c r="C2" s="126" t="s">
        <v>55</v>
      </c>
      <c r="D2" s="126" t="s">
        <v>13</v>
      </c>
      <c r="E2" s="126" t="s">
        <v>41</v>
      </c>
      <c r="F2" s="126" t="s">
        <v>19</v>
      </c>
      <c r="G2" s="126" t="s">
        <v>30</v>
      </c>
      <c r="H2" s="126" t="s">
        <v>6</v>
      </c>
      <c r="I2" s="125"/>
    </row>
    <row r="3" spans="1:9" x14ac:dyDescent="0.3">
      <c r="A3" s="125"/>
      <c r="B3" s="126" t="s">
        <v>55</v>
      </c>
      <c r="C3" s="127">
        <v>1</v>
      </c>
      <c r="D3" s="127">
        <f>1/C4</f>
        <v>0.33333333333333331</v>
      </c>
      <c r="E3" s="127">
        <f>1/C5</f>
        <v>1</v>
      </c>
      <c r="F3" s="127">
        <f>1/C6</f>
        <v>5</v>
      </c>
      <c r="G3" s="127">
        <f>1/C7</f>
        <v>5</v>
      </c>
      <c r="H3" s="127">
        <f>1/C8</f>
        <v>0.33333333333333331</v>
      </c>
      <c r="I3" s="125"/>
    </row>
    <row r="4" spans="1:9" x14ac:dyDescent="0.3">
      <c r="A4" s="125"/>
      <c r="B4" s="126" t="s">
        <v>13</v>
      </c>
      <c r="C4" s="127">
        <v>3</v>
      </c>
      <c r="D4" s="127">
        <v>1</v>
      </c>
      <c r="E4" s="127">
        <f>1/D5</f>
        <v>5</v>
      </c>
      <c r="F4" s="127">
        <f>1/D6</f>
        <v>3</v>
      </c>
      <c r="G4" s="127">
        <f>1/D7</f>
        <v>3</v>
      </c>
      <c r="H4" s="127">
        <f>1/D8</f>
        <v>0.33333333333333331</v>
      </c>
      <c r="I4" s="125"/>
    </row>
    <row r="5" spans="1:9" x14ac:dyDescent="0.3">
      <c r="A5" s="125" t="s">
        <v>56</v>
      </c>
      <c r="B5" s="126" t="s">
        <v>41</v>
      </c>
      <c r="C5" s="127">
        <v>1</v>
      </c>
      <c r="D5" s="127">
        <v>0.2</v>
      </c>
      <c r="E5" s="127">
        <v>1</v>
      </c>
      <c r="F5" s="127">
        <f>1/E6</f>
        <v>0.33333333333333331</v>
      </c>
      <c r="G5" s="127">
        <f>1/E7</f>
        <v>7</v>
      </c>
      <c r="H5" s="127">
        <f>1/E8</f>
        <v>3</v>
      </c>
      <c r="I5" s="125"/>
    </row>
    <row r="6" spans="1:9" x14ac:dyDescent="0.3">
      <c r="A6" s="125"/>
      <c r="B6" s="126" t="s">
        <v>19</v>
      </c>
      <c r="C6" s="127">
        <v>0.2</v>
      </c>
      <c r="D6" s="127">
        <v>0.33333333333333331</v>
      </c>
      <c r="E6" s="127">
        <v>3</v>
      </c>
      <c r="F6" s="127">
        <v>1</v>
      </c>
      <c r="G6" s="127">
        <f>1/F7</f>
        <v>1</v>
      </c>
      <c r="H6" s="127">
        <f>1/F8</f>
        <v>7</v>
      </c>
      <c r="I6" s="125"/>
    </row>
    <row r="7" spans="1:9" x14ac:dyDescent="0.3">
      <c r="A7" s="125"/>
      <c r="B7" s="126" t="s">
        <v>30</v>
      </c>
      <c r="C7" s="127">
        <v>0.2</v>
      </c>
      <c r="D7" s="127">
        <v>0.33333333333333331</v>
      </c>
      <c r="E7" s="127">
        <v>0.14285714285714285</v>
      </c>
      <c r="F7" s="127">
        <v>1</v>
      </c>
      <c r="G7" s="127">
        <v>1</v>
      </c>
      <c r="H7" s="127">
        <f>1/G8</f>
        <v>0.14285714285714285</v>
      </c>
      <c r="I7" s="125"/>
    </row>
    <row r="8" spans="1:9" x14ac:dyDescent="0.3">
      <c r="A8" s="125"/>
      <c r="B8" s="126" t="s">
        <v>6</v>
      </c>
      <c r="C8" s="127">
        <v>3</v>
      </c>
      <c r="D8" s="127">
        <v>3</v>
      </c>
      <c r="E8" s="127">
        <v>0.33333333333333331</v>
      </c>
      <c r="F8" s="127">
        <v>0.14285714285714285</v>
      </c>
      <c r="G8" s="127">
        <v>7</v>
      </c>
      <c r="H8" s="127">
        <v>1</v>
      </c>
      <c r="I8" s="125"/>
    </row>
    <row r="9" spans="1:9" x14ac:dyDescent="0.3">
      <c r="A9" s="125"/>
      <c r="B9" s="125"/>
      <c r="C9" s="125"/>
      <c r="D9" s="125"/>
      <c r="E9" s="125"/>
      <c r="F9" s="125"/>
      <c r="G9" s="125"/>
      <c r="H9" s="125"/>
      <c r="I9" s="125"/>
    </row>
    <row r="10" spans="1:9" x14ac:dyDescent="0.3">
      <c r="A10" s="125"/>
      <c r="B10" s="126" t="s">
        <v>54</v>
      </c>
      <c r="C10" s="126" t="s">
        <v>55</v>
      </c>
      <c r="D10" s="126" t="s">
        <v>13</v>
      </c>
      <c r="E10" s="126" t="s">
        <v>41</v>
      </c>
      <c r="F10" s="126" t="s">
        <v>19</v>
      </c>
      <c r="G10" s="126" t="s">
        <v>30</v>
      </c>
      <c r="H10" s="126" t="s">
        <v>6</v>
      </c>
      <c r="I10" s="125"/>
    </row>
    <row r="11" spans="1:9" x14ac:dyDescent="0.3">
      <c r="A11" s="125"/>
      <c r="B11" s="126" t="s">
        <v>55</v>
      </c>
      <c r="C11" s="127">
        <v>1</v>
      </c>
      <c r="D11" s="127">
        <f>1/C12</f>
        <v>5</v>
      </c>
      <c r="E11" s="127">
        <f>1/C13</f>
        <v>3</v>
      </c>
      <c r="F11" s="127">
        <f>1/C14</f>
        <v>7</v>
      </c>
      <c r="G11" s="127">
        <f>1/C15</f>
        <v>9</v>
      </c>
      <c r="H11" s="127">
        <f>1/C16</f>
        <v>3</v>
      </c>
      <c r="I11" s="125"/>
    </row>
    <row r="12" spans="1:9" x14ac:dyDescent="0.3">
      <c r="A12" s="125"/>
      <c r="B12" s="126" t="s">
        <v>13</v>
      </c>
      <c r="C12" s="127">
        <v>0.2</v>
      </c>
      <c r="D12" s="127">
        <v>1</v>
      </c>
      <c r="E12" s="127">
        <f>1/D13</f>
        <v>3</v>
      </c>
      <c r="F12" s="127">
        <f>1/D14</f>
        <v>0.2</v>
      </c>
      <c r="G12" s="127">
        <f>1/D15</f>
        <v>3</v>
      </c>
      <c r="H12" s="127">
        <f>1/D16</f>
        <v>0.33333333333333331</v>
      </c>
      <c r="I12" s="125"/>
    </row>
    <row r="13" spans="1:9" x14ac:dyDescent="0.3">
      <c r="A13" s="125" t="s">
        <v>57</v>
      </c>
      <c r="B13" s="126" t="s">
        <v>41</v>
      </c>
      <c r="C13" s="127">
        <v>0.33333333333333331</v>
      </c>
      <c r="D13" s="127">
        <v>0.33333333333333331</v>
      </c>
      <c r="E13" s="127">
        <v>1</v>
      </c>
      <c r="F13" s="127">
        <f>1/E14</f>
        <v>0.2</v>
      </c>
      <c r="G13" s="127">
        <f>1/E15</f>
        <v>5</v>
      </c>
      <c r="H13" s="127">
        <f>1/E16</f>
        <v>1</v>
      </c>
      <c r="I13" s="125"/>
    </row>
    <row r="14" spans="1:9" x14ac:dyDescent="0.3">
      <c r="A14" s="125"/>
      <c r="B14" s="126" t="s">
        <v>19</v>
      </c>
      <c r="C14" s="127">
        <v>0.14285714285714285</v>
      </c>
      <c r="D14" s="127">
        <v>5</v>
      </c>
      <c r="E14" s="127">
        <v>5</v>
      </c>
      <c r="F14" s="127">
        <v>1</v>
      </c>
      <c r="G14" s="127">
        <f>1/F15</f>
        <v>7</v>
      </c>
      <c r="H14" s="127">
        <f>1/F16</f>
        <v>7</v>
      </c>
      <c r="I14" s="125"/>
    </row>
    <row r="15" spans="1:9" x14ac:dyDescent="0.3">
      <c r="A15" s="125"/>
      <c r="B15" s="126" t="s">
        <v>30</v>
      </c>
      <c r="C15" s="127">
        <v>0.1111111111111111</v>
      </c>
      <c r="D15" s="127">
        <v>0.33333333333333331</v>
      </c>
      <c r="E15" s="127">
        <v>0.2</v>
      </c>
      <c r="F15" s="127">
        <v>0.14285714285714285</v>
      </c>
      <c r="G15" s="127">
        <v>1</v>
      </c>
      <c r="H15" s="127">
        <f>1/G16</f>
        <v>1</v>
      </c>
      <c r="I15" s="125"/>
    </row>
    <row r="16" spans="1:9" x14ac:dyDescent="0.3">
      <c r="A16" s="125"/>
      <c r="B16" s="126" t="s">
        <v>6</v>
      </c>
      <c r="C16" s="127">
        <v>0.33333333333333331</v>
      </c>
      <c r="D16" s="127">
        <v>3</v>
      </c>
      <c r="E16" s="127">
        <v>1</v>
      </c>
      <c r="F16" s="127">
        <v>0.14285714285714285</v>
      </c>
      <c r="G16" s="127">
        <v>1</v>
      </c>
      <c r="H16" s="127">
        <v>1</v>
      </c>
      <c r="I16" s="125"/>
    </row>
    <row r="17" spans="1:9" x14ac:dyDescent="0.3">
      <c r="A17" s="125"/>
      <c r="B17" s="125"/>
      <c r="C17" s="125"/>
      <c r="D17" s="125"/>
      <c r="E17" s="125"/>
      <c r="F17" s="125"/>
      <c r="G17" s="125"/>
      <c r="H17" s="125"/>
      <c r="I17" s="125"/>
    </row>
    <row r="18" spans="1:9" x14ac:dyDescent="0.3">
      <c r="A18" s="125"/>
      <c r="B18" s="126" t="s">
        <v>54</v>
      </c>
      <c r="C18" s="126" t="s">
        <v>55</v>
      </c>
      <c r="D18" s="126" t="s">
        <v>13</v>
      </c>
      <c r="E18" s="126" t="s">
        <v>41</v>
      </c>
      <c r="F18" s="126" t="s">
        <v>19</v>
      </c>
      <c r="G18" s="126" t="s">
        <v>30</v>
      </c>
      <c r="H18" s="126" t="s">
        <v>6</v>
      </c>
      <c r="I18" s="125"/>
    </row>
    <row r="19" spans="1:9" x14ac:dyDescent="0.3">
      <c r="A19" s="125"/>
      <c r="B19" s="126" t="s">
        <v>55</v>
      </c>
      <c r="C19" s="127">
        <v>1</v>
      </c>
      <c r="D19" s="127">
        <f>1/C20</f>
        <v>0.2</v>
      </c>
      <c r="E19" s="127">
        <f>1/C21</f>
        <v>3</v>
      </c>
      <c r="F19" s="127">
        <f>1/C22</f>
        <v>1</v>
      </c>
      <c r="G19" s="127">
        <f>1/C23</f>
        <v>0.14285714285714285</v>
      </c>
      <c r="H19" s="127">
        <f>1/C24</f>
        <v>0.1111111111111111</v>
      </c>
      <c r="I19" s="125"/>
    </row>
    <row r="20" spans="1:9" x14ac:dyDescent="0.3">
      <c r="A20" s="125"/>
      <c r="B20" s="126" t="s">
        <v>13</v>
      </c>
      <c r="C20" s="127">
        <v>5</v>
      </c>
      <c r="D20" s="127">
        <v>1</v>
      </c>
      <c r="E20" s="127">
        <f>1/D21</f>
        <v>0.2</v>
      </c>
      <c r="F20" s="127">
        <f>1/D22</f>
        <v>5</v>
      </c>
      <c r="G20" s="127">
        <f>1/D23</f>
        <v>3</v>
      </c>
      <c r="H20" s="127">
        <f>1/D24</f>
        <v>0.14285714285714285</v>
      </c>
      <c r="I20" s="125"/>
    </row>
    <row r="21" spans="1:9" x14ac:dyDescent="0.3">
      <c r="A21" s="125" t="s">
        <v>58</v>
      </c>
      <c r="B21" s="126" t="s">
        <v>41</v>
      </c>
      <c r="C21" s="127">
        <v>0.33333333333333331</v>
      </c>
      <c r="D21" s="127">
        <v>5</v>
      </c>
      <c r="E21" s="127">
        <v>1</v>
      </c>
      <c r="F21" s="127">
        <f>1/E22</f>
        <v>3</v>
      </c>
      <c r="G21" s="127">
        <f>1/E23</f>
        <v>5</v>
      </c>
      <c r="H21" s="127">
        <f>1/E24</f>
        <v>0.33333333333333331</v>
      </c>
      <c r="I21" s="125"/>
    </row>
    <row r="22" spans="1:9" x14ac:dyDescent="0.3">
      <c r="A22" s="125"/>
      <c r="B22" s="126" t="s">
        <v>19</v>
      </c>
      <c r="C22" s="127">
        <v>1</v>
      </c>
      <c r="D22" s="127">
        <v>0.2</v>
      </c>
      <c r="E22" s="127">
        <v>0.33333333333333331</v>
      </c>
      <c r="F22" s="127">
        <v>1</v>
      </c>
      <c r="G22" s="127">
        <f>1/F23</f>
        <v>0.33333333333333331</v>
      </c>
      <c r="H22" s="127">
        <f>1/F24</f>
        <v>0.1111111111111111</v>
      </c>
      <c r="I22" s="125"/>
    </row>
    <row r="23" spans="1:9" x14ac:dyDescent="0.3">
      <c r="A23" s="125"/>
      <c r="B23" s="126" t="s">
        <v>30</v>
      </c>
      <c r="C23" s="127">
        <v>7</v>
      </c>
      <c r="D23" s="127">
        <v>0.33333333333333331</v>
      </c>
      <c r="E23" s="127">
        <v>0.2</v>
      </c>
      <c r="F23" s="127">
        <v>3</v>
      </c>
      <c r="G23" s="127">
        <v>1</v>
      </c>
      <c r="H23" s="127">
        <f>1/G24</f>
        <v>0.2</v>
      </c>
      <c r="I23" s="125"/>
    </row>
    <row r="24" spans="1:9" x14ac:dyDescent="0.3">
      <c r="A24" s="125"/>
      <c r="B24" s="126" t="s">
        <v>6</v>
      </c>
      <c r="C24" s="127">
        <v>9</v>
      </c>
      <c r="D24" s="127">
        <v>7</v>
      </c>
      <c r="E24" s="127">
        <v>3</v>
      </c>
      <c r="F24" s="127">
        <v>9</v>
      </c>
      <c r="G24" s="127">
        <v>5</v>
      </c>
      <c r="H24" s="127">
        <v>1</v>
      </c>
      <c r="I24" s="125"/>
    </row>
    <row r="25" spans="1:9" x14ac:dyDescent="0.3">
      <c r="A25" s="125"/>
      <c r="B25" s="125"/>
      <c r="C25" s="125"/>
      <c r="D25" s="125"/>
      <c r="E25" s="125"/>
      <c r="F25" s="125"/>
      <c r="G25" s="125"/>
      <c r="H25" s="125"/>
      <c r="I25" s="125"/>
    </row>
    <row r="26" spans="1:9" x14ac:dyDescent="0.3">
      <c r="A26" s="125"/>
      <c r="B26" s="126" t="s">
        <v>54</v>
      </c>
      <c r="C26" s="126" t="s">
        <v>55</v>
      </c>
      <c r="D26" s="126" t="s">
        <v>13</v>
      </c>
      <c r="E26" s="126" t="s">
        <v>41</v>
      </c>
      <c r="F26" s="126" t="s">
        <v>19</v>
      </c>
      <c r="G26" s="126" t="s">
        <v>30</v>
      </c>
      <c r="H26" s="126" t="s">
        <v>6</v>
      </c>
      <c r="I26" s="125"/>
    </row>
    <row r="27" spans="1:9" x14ac:dyDescent="0.3">
      <c r="A27" s="125"/>
      <c r="B27" s="126" t="s">
        <v>55</v>
      </c>
      <c r="C27" s="127">
        <v>1</v>
      </c>
      <c r="D27" s="127">
        <f>1/C28</f>
        <v>0.2</v>
      </c>
      <c r="E27" s="127">
        <f>1/C29</f>
        <v>0.2</v>
      </c>
      <c r="F27" s="127">
        <f>1/C30</f>
        <v>1</v>
      </c>
      <c r="G27" s="127">
        <f>1/C31</f>
        <v>0.33333333333333331</v>
      </c>
      <c r="H27" s="127">
        <f>1/C32</f>
        <v>0.14285714285714285</v>
      </c>
      <c r="I27" s="125"/>
    </row>
    <row r="28" spans="1:9" x14ac:dyDescent="0.3">
      <c r="A28" s="125"/>
      <c r="B28" s="126" t="s">
        <v>13</v>
      </c>
      <c r="C28" s="127">
        <v>5</v>
      </c>
      <c r="D28" s="127">
        <v>1</v>
      </c>
      <c r="E28" s="127">
        <f>1/D29</f>
        <v>0.33333333333333331</v>
      </c>
      <c r="F28" s="127">
        <f>1/D30</f>
        <v>7</v>
      </c>
      <c r="G28" s="127">
        <f>1/D31</f>
        <v>5</v>
      </c>
      <c r="H28" s="127">
        <f>1/D32</f>
        <v>1</v>
      </c>
      <c r="I28" s="125"/>
    </row>
    <row r="29" spans="1:9" x14ac:dyDescent="0.3">
      <c r="A29" s="125" t="s">
        <v>59</v>
      </c>
      <c r="B29" s="126" t="s">
        <v>41</v>
      </c>
      <c r="C29" s="127">
        <v>5</v>
      </c>
      <c r="D29" s="127">
        <v>3</v>
      </c>
      <c r="E29" s="127">
        <v>1</v>
      </c>
      <c r="F29" s="127">
        <f>1/E30</f>
        <v>7</v>
      </c>
      <c r="G29" s="127">
        <f>1/E31</f>
        <v>3</v>
      </c>
      <c r="H29" s="127">
        <f>1/E32</f>
        <v>3</v>
      </c>
      <c r="I29" s="125"/>
    </row>
    <row r="30" spans="1:9" x14ac:dyDescent="0.3">
      <c r="A30" s="125"/>
      <c r="B30" s="126" t="s">
        <v>19</v>
      </c>
      <c r="C30" s="127">
        <v>1</v>
      </c>
      <c r="D30" s="127">
        <v>0.14285714285714285</v>
      </c>
      <c r="E30" s="127">
        <v>0.14285714285714285</v>
      </c>
      <c r="F30" s="127">
        <v>1</v>
      </c>
      <c r="G30" s="127">
        <f>1/F31</f>
        <v>1</v>
      </c>
      <c r="H30" s="127">
        <f>1/F32</f>
        <v>0.33333333333333331</v>
      </c>
      <c r="I30" s="125"/>
    </row>
    <row r="31" spans="1:9" x14ac:dyDescent="0.3">
      <c r="A31" s="125"/>
      <c r="B31" s="126" t="s">
        <v>30</v>
      </c>
      <c r="C31" s="127">
        <v>3</v>
      </c>
      <c r="D31" s="127">
        <v>0.2</v>
      </c>
      <c r="E31" s="127">
        <v>0.33333333333333331</v>
      </c>
      <c r="F31" s="127">
        <v>1</v>
      </c>
      <c r="G31" s="127">
        <v>1</v>
      </c>
      <c r="H31" s="127">
        <f>1/G32</f>
        <v>0.2</v>
      </c>
      <c r="I31" s="125"/>
    </row>
    <row r="32" spans="1:9" x14ac:dyDescent="0.3">
      <c r="A32" s="125"/>
      <c r="B32" s="126" t="s">
        <v>6</v>
      </c>
      <c r="C32" s="127">
        <v>7</v>
      </c>
      <c r="D32" s="127">
        <v>1</v>
      </c>
      <c r="E32" s="127">
        <v>0.33333333333333331</v>
      </c>
      <c r="F32" s="127">
        <v>3</v>
      </c>
      <c r="G32" s="127">
        <v>5</v>
      </c>
      <c r="H32" s="127">
        <v>1</v>
      </c>
      <c r="I32" s="125"/>
    </row>
    <row r="33" spans="1:9" ht="15" thickBot="1" x14ac:dyDescent="0.35">
      <c r="A33" s="128"/>
      <c r="B33" s="128"/>
      <c r="C33" s="128"/>
      <c r="D33" s="128"/>
      <c r="E33" s="128"/>
      <c r="F33" s="128"/>
      <c r="G33" s="128"/>
      <c r="H33" s="128"/>
      <c r="I33" s="128"/>
    </row>
    <row r="34" spans="1:9" x14ac:dyDescent="0.3">
      <c r="A34" s="125"/>
      <c r="B34" s="125"/>
      <c r="C34" s="125"/>
      <c r="D34" s="125"/>
      <c r="E34" s="125"/>
      <c r="F34" s="125"/>
      <c r="G34" s="125"/>
      <c r="H34" s="125"/>
      <c r="I34" s="125"/>
    </row>
    <row r="35" spans="1:9" x14ac:dyDescent="0.3">
      <c r="A35" s="125"/>
      <c r="B35" s="126" t="s">
        <v>54</v>
      </c>
      <c r="C35" s="126" t="s">
        <v>55</v>
      </c>
      <c r="D35" s="126" t="s">
        <v>13</v>
      </c>
      <c r="E35" s="126" t="s">
        <v>41</v>
      </c>
      <c r="F35" s="126" t="s">
        <v>19</v>
      </c>
      <c r="G35" s="126" t="s">
        <v>30</v>
      </c>
      <c r="H35" s="126" t="s">
        <v>6</v>
      </c>
      <c r="I35" s="125"/>
    </row>
    <row r="36" spans="1:9" x14ac:dyDescent="0.3">
      <c r="A36" s="125"/>
      <c r="B36" s="126" t="s">
        <v>55</v>
      </c>
      <c r="C36" s="126">
        <v>1</v>
      </c>
      <c r="D36" s="126">
        <f>1/C37</f>
        <v>0.58823529411764708</v>
      </c>
      <c r="E36" s="126">
        <f>1/C38</f>
        <v>0.60000000000000009</v>
      </c>
      <c r="F36" s="126">
        <f>1/C39</f>
        <v>2.4137931034482762</v>
      </c>
      <c r="G36" s="126">
        <f>1/C40</f>
        <v>0.41284403669724773</v>
      </c>
      <c r="H36" s="126">
        <f>1/C41</f>
        <v>0.31578947368421056</v>
      </c>
      <c r="I36" s="125"/>
    </row>
    <row r="37" spans="1:9" x14ac:dyDescent="0.3">
      <c r="A37" s="125"/>
      <c r="B37" s="126" t="s">
        <v>13</v>
      </c>
      <c r="C37" s="126">
        <f>AVEDEV(C4,C12,C20,C28)</f>
        <v>1.7</v>
      </c>
      <c r="D37" s="126">
        <v>1</v>
      </c>
      <c r="E37" s="126">
        <f>1/D38</f>
        <v>0.5357142857142857</v>
      </c>
      <c r="F37" s="126">
        <f>1/D39</f>
        <v>0.5585106382978724</v>
      </c>
      <c r="G37" s="126">
        <f>1/D40</f>
        <v>20.000000000000004</v>
      </c>
      <c r="H37" s="126">
        <f>1/D41</f>
        <v>0.5714285714285714</v>
      </c>
      <c r="I37" s="125"/>
    </row>
    <row r="38" spans="1:9" x14ac:dyDescent="0.3">
      <c r="A38" s="131" t="s">
        <v>60</v>
      </c>
      <c r="B38" s="126" t="s">
        <v>41</v>
      </c>
      <c r="C38" s="126">
        <f t="shared" ref="C38:G41" si="0">AVEDEV(C5,C13,C21,C29)</f>
        <v>1.6666666666666665</v>
      </c>
      <c r="D38" s="126">
        <f t="shared" ref="D38" si="1">AVEDEV(D5,D13,D21,D29)</f>
        <v>1.8666666666666667</v>
      </c>
      <c r="E38" s="126">
        <v>1</v>
      </c>
      <c r="F38" s="126">
        <f>1/E39</f>
        <v>0.53164556962025322</v>
      </c>
      <c r="G38" s="126">
        <f>1/E40</f>
        <v>17.500000000000004</v>
      </c>
      <c r="H38" s="126">
        <f>1/E41</f>
        <v>1.0909090909090911</v>
      </c>
      <c r="I38" s="125"/>
    </row>
    <row r="39" spans="1:9" x14ac:dyDescent="0.3">
      <c r="A39" s="131"/>
      <c r="B39" s="126" t="s">
        <v>19</v>
      </c>
      <c r="C39" s="126">
        <f t="shared" si="0"/>
        <v>0.41428571428571426</v>
      </c>
      <c r="D39" s="126">
        <f t="shared" ref="D39:E39" si="2">AVEDEV(D6,D14,D22,D30)</f>
        <v>1.7904761904761903</v>
      </c>
      <c r="E39" s="126">
        <f t="shared" si="2"/>
        <v>1.8809523809523809</v>
      </c>
      <c r="F39" s="126">
        <v>1</v>
      </c>
      <c r="G39" s="126">
        <f>1/F40</f>
        <v>1.1666666666666667</v>
      </c>
      <c r="H39" s="126">
        <f>1/F41</f>
        <v>0.33734939759036142</v>
      </c>
      <c r="I39" s="125"/>
    </row>
    <row r="40" spans="1:9" x14ac:dyDescent="0.3">
      <c r="A40" s="125"/>
      <c r="B40" s="126" t="s">
        <v>30</v>
      </c>
      <c r="C40" s="126">
        <f t="shared" si="0"/>
        <v>2.4222222222222221</v>
      </c>
      <c r="D40" s="126">
        <f t="shared" ref="D40:E40" si="3">AVEDEV(D7,D15,D23,D31)</f>
        <v>4.9999999999999989E-2</v>
      </c>
      <c r="E40" s="126">
        <f t="shared" si="3"/>
        <v>5.7142857142857134E-2</v>
      </c>
      <c r="F40" s="126">
        <f t="shared" si="0"/>
        <v>0.8571428571428571</v>
      </c>
      <c r="G40" s="126">
        <v>1</v>
      </c>
      <c r="H40" s="126">
        <f>1/G41</f>
        <v>0.5714285714285714</v>
      </c>
      <c r="I40" s="125"/>
    </row>
    <row r="41" spans="1:9" x14ac:dyDescent="0.3">
      <c r="A41" s="125"/>
      <c r="B41" s="126" t="s">
        <v>6</v>
      </c>
      <c r="C41" s="126">
        <f t="shared" si="0"/>
        <v>3.1666666666666665</v>
      </c>
      <c r="D41" s="126">
        <f t="shared" si="0"/>
        <v>1.75</v>
      </c>
      <c r="E41" s="126">
        <f>AVEDEV(E8,E16,E24,E32)</f>
        <v>0.91666666666666652</v>
      </c>
      <c r="F41" s="126">
        <f t="shared" si="0"/>
        <v>2.9642857142857144</v>
      </c>
      <c r="G41" s="126">
        <f t="shared" si="0"/>
        <v>1.75</v>
      </c>
      <c r="H41" s="126">
        <v>1</v>
      </c>
      <c r="I41" s="125"/>
    </row>
    <row r="42" spans="1:9" x14ac:dyDescent="0.3">
      <c r="A42" s="125"/>
      <c r="B42" s="125"/>
      <c r="C42" s="125"/>
      <c r="D42" s="125"/>
      <c r="E42" s="125"/>
      <c r="F42" s="125"/>
      <c r="G42" s="125"/>
      <c r="H42" s="125"/>
      <c r="I42" s="125"/>
    </row>
    <row r="44" spans="1:9" ht="18" x14ac:dyDescent="0.3">
      <c r="A44" s="130" t="s">
        <v>65</v>
      </c>
      <c r="B44" s="125"/>
      <c r="C44" s="125"/>
      <c r="D44" s="125"/>
      <c r="E44" s="125"/>
      <c r="F44" s="125"/>
      <c r="G44" s="125"/>
      <c r="H44" s="125"/>
      <c r="I44" s="125"/>
    </row>
    <row r="45" spans="1:9" x14ac:dyDescent="0.3">
      <c r="A45" s="125"/>
      <c r="B45" s="125"/>
      <c r="C45" s="126" t="s">
        <v>63</v>
      </c>
      <c r="D45" s="126">
        <f>1/(MAX(SUM(C41:H41),SUM(C40:H40),SUM(C39:H39),SUM(C38:H38),SUM(C37:H37),SUM(C36:H36)))</f>
        <v>4.1041378191933924E-2</v>
      </c>
      <c r="E45" s="125"/>
      <c r="F45" s="125"/>
      <c r="G45" s="125"/>
      <c r="H45" s="125"/>
      <c r="I45" s="125"/>
    </row>
    <row r="46" spans="1:9" ht="43.2" x14ac:dyDescent="0.3">
      <c r="A46" s="132" t="s">
        <v>61</v>
      </c>
      <c r="B46" s="125"/>
      <c r="C46" s="125"/>
      <c r="D46" s="125"/>
      <c r="E46" s="125"/>
      <c r="F46" s="125"/>
      <c r="G46" s="125"/>
      <c r="H46" s="125"/>
      <c r="I46" s="125"/>
    </row>
    <row r="47" spans="1:9" x14ac:dyDescent="0.3">
      <c r="A47" s="125"/>
      <c r="B47" s="126" t="s">
        <v>54</v>
      </c>
      <c r="C47" s="126" t="s">
        <v>55</v>
      </c>
      <c r="D47" s="126" t="s">
        <v>13</v>
      </c>
      <c r="E47" s="126" t="s">
        <v>41</v>
      </c>
      <c r="F47" s="126" t="s">
        <v>19</v>
      </c>
      <c r="G47" s="126" t="s">
        <v>30</v>
      </c>
      <c r="H47" s="126" t="s">
        <v>6</v>
      </c>
      <c r="I47" s="125"/>
    </row>
    <row r="48" spans="1:9" x14ac:dyDescent="0.3">
      <c r="A48" s="125"/>
      <c r="B48" s="126" t="s">
        <v>55</v>
      </c>
      <c r="C48" s="126">
        <f t="shared" ref="C48:H53" si="4">C36*$D$45</f>
        <v>4.1041378191933924E-2</v>
      </c>
      <c r="D48" s="126">
        <f t="shared" si="4"/>
        <v>2.4141987171725839E-2</v>
      </c>
      <c r="E48" s="126">
        <f t="shared" si="4"/>
        <v>2.4624826915160356E-2</v>
      </c>
      <c r="F48" s="126">
        <f t="shared" si="4"/>
        <v>9.9065395635702588E-2</v>
      </c>
      <c r="G48" s="126">
        <f t="shared" si="4"/>
        <v>1.6943688244376393E-2</v>
      </c>
      <c r="H48" s="126">
        <f t="shared" si="4"/>
        <v>1.2960435218505451E-2</v>
      </c>
      <c r="I48" s="125"/>
    </row>
    <row r="49" spans="1:44" x14ac:dyDescent="0.3">
      <c r="A49" s="125"/>
      <c r="B49" s="126" t="s">
        <v>13</v>
      </c>
      <c r="C49" s="126">
        <f t="shared" si="4"/>
        <v>6.9770342926287671E-2</v>
      </c>
      <c r="D49" s="126">
        <f t="shared" si="4"/>
        <v>4.1041378191933924E-2</v>
      </c>
      <c r="E49" s="126">
        <f t="shared" si="4"/>
        <v>2.1986452602821744E-2</v>
      </c>
      <c r="F49" s="126">
        <f t="shared" si="4"/>
        <v>2.2922046330601395E-2</v>
      </c>
      <c r="G49" s="126">
        <f t="shared" si="4"/>
        <v>0.82082756383867861</v>
      </c>
      <c r="H49" s="126">
        <f t="shared" si="4"/>
        <v>2.3452216109676526E-2</v>
      </c>
      <c r="I49" s="125"/>
    </row>
    <row r="50" spans="1:44" x14ac:dyDescent="0.3">
      <c r="A50" s="125" t="s">
        <v>67</v>
      </c>
      <c r="B50" s="126" t="s">
        <v>41</v>
      </c>
      <c r="C50" s="126">
        <f t="shared" si="4"/>
        <v>6.8402296986556532E-2</v>
      </c>
      <c r="D50" s="126">
        <f t="shared" si="4"/>
        <v>7.6610572624943321E-2</v>
      </c>
      <c r="E50" s="126">
        <f t="shared" si="4"/>
        <v>4.1041378191933924E-2</v>
      </c>
      <c r="F50" s="126">
        <f t="shared" si="4"/>
        <v>2.1819466886850949E-2</v>
      </c>
      <c r="G50" s="126">
        <f t="shared" si="4"/>
        <v>0.71822411835884381</v>
      </c>
      <c r="H50" s="126">
        <f t="shared" si="4"/>
        <v>4.4772412573018831E-2</v>
      </c>
      <c r="I50" s="125"/>
    </row>
    <row r="51" spans="1:44" x14ac:dyDescent="0.3">
      <c r="A51" s="125"/>
      <c r="B51" s="126" t="s">
        <v>19</v>
      </c>
      <c r="C51" s="126">
        <f t="shared" si="4"/>
        <v>1.7002856679515482E-2</v>
      </c>
      <c r="D51" s="126">
        <f t="shared" si="4"/>
        <v>7.3483610476986441E-2</v>
      </c>
      <c r="E51" s="126">
        <f t="shared" si="4"/>
        <v>7.719687802768524E-2</v>
      </c>
      <c r="F51" s="126">
        <f t="shared" si="4"/>
        <v>4.1041378191933924E-2</v>
      </c>
      <c r="G51" s="126">
        <f t="shared" si="4"/>
        <v>4.7881607890589581E-2</v>
      </c>
      <c r="H51" s="126">
        <f t="shared" si="4"/>
        <v>1.3845284209327105E-2</v>
      </c>
      <c r="I51" s="125"/>
    </row>
    <row r="52" spans="1:44" x14ac:dyDescent="0.3">
      <c r="A52" s="125"/>
      <c r="B52" s="126" t="s">
        <v>30</v>
      </c>
      <c r="C52" s="126">
        <f t="shared" si="4"/>
        <v>9.9411338287128836E-2</v>
      </c>
      <c r="D52" s="126">
        <f t="shared" si="4"/>
        <v>2.0520689095966959E-3</v>
      </c>
      <c r="E52" s="126">
        <f t="shared" si="4"/>
        <v>2.3452216109676525E-3</v>
      </c>
      <c r="F52" s="126">
        <f t="shared" si="4"/>
        <v>3.5178324164514788E-2</v>
      </c>
      <c r="G52" s="126">
        <f t="shared" si="4"/>
        <v>4.1041378191933924E-2</v>
      </c>
      <c r="H52" s="126">
        <f t="shared" si="4"/>
        <v>2.3452216109676526E-2</v>
      </c>
      <c r="I52" s="125"/>
    </row>
    <row r="53" spans="1:44" x14ac:dyDescent="0.3">
      <c r="A53" s="125"/>
      <c r="B53" s="126" t="s">
        <v>6</v>
      </c>
      <c r="C53" s="126">
        <f t="shared" si="4"/>
        <v>0.12996436427445743</v>
      </c>
      <c r="D53" s="126">
        <f t="shared" si="4"/>
        <v>7.1822411835884364E-2</v>
      </c>
      <c r="E53" s="126">
        <f t="shared" si="4"/>
        <v>3.7621263342606091E-2</v>
      </c>
      <c r="F53" s="126">
        <f t="shared" si="4"/>
        <v>0.12165837106894699</v>
      </c>
      <c r="G53" s="126">
        <f t="shared" si="4"/>
        <v>7.1822411835884364E-2</v>
      </c>
      <c r="H53" s="126">
        <f t="shared" si="4"/>
        <v>4.1041378191933924E-2</v>
      </c>
      <c r="I53" s="125"/>
    </row>
    <row r="54" spans="1:44" x14ac:dyDescent="0.3">
      <c r="A54" s="125"/>
      <c r="B54" s="125"/>
      <c r="C54" s="125"/>
      <c r="D54" s="125"/>
      <c r="E54" s="125"/>
      <c r="F54" s="125"/>
      <c r="G54" s="125"/>
      <c r="H54" s="125"/>
      <c r="I54" s="125"/>
    </row>
    <row r="56" spans="1:44" ht="18" x14ac:dyDescent="0.3">
      <c r="A56" s="130" t="s">
        <v>66</v>
      </c>
      <c r="B56" s="125"/>
      <c r="C56" s="125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  <c r="AB56" s="125"/>
      <c r="AC56" s="125"/>
      <c r="AD56" s="125"/>
      <c r="AE56" s="125"/>
      <c r="AF56" s="125"/>
      <c r="AG56" s="125"/>
      <c r="AH56" s="125"/>
      <c r="AI56" s="125"/>
      <c r="AJ56" s="125"/>
      <c r="AK56" s="125"/>
      <c r="AL56" s="125"/>
      <c r="AM56" s="125"/>
      <c r="AN56" s="125"/>
      <c r="AO56" s="125"/>
      <c r="AP56" s="125"/>
      <c r="AQ56" s="125"/>
      <c r="AR56" s="125"/>
    </row>
    <row r="57" spans="1:44" x14ac:dyDescent="0.3">
      <c r="A57" s="125"/>
      <c r="B57" s="125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  <c r="AR57" s="125"/>
    </row>
    <row r="58" spans="1:44" ht="43.2" x14ac:dyDescent="0.3">
      <c r="A58" s="135" t="s">
        <v>62</v>
      </c>
      <c r="B58" s="125"/>
      <c r="C58" s="125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  <c r="AB58" s="125"/>
      <c r="AC58" s="125"/>
      <c r="AD58" s="125"/>
      <c r="AE58" s="125"/>
      <c r="AF58" s="125"/>
      <c r="AG58" s="125"/>
      <c r="AH58" s="125"/>
      <c r="AI58" s="125"/>
      <c r="AJ58" s="125"/>
      <c r="AK58" s="125"/>
      <c r="AL58" s="125"/>
      <c r="AM58" s="125"/>
      <c r="AN58" s="125"/>
      <c r="AO58" s="125"/>
      <c r="AP58" s="125"/>
      <c r="AQ58" s="125"/>
      <c r="AR58" s="125"/>
    </row>
    <row r="59" spans="1:44" s="136" customFormat="1" x14ac:dyDescent="0.3">
      <c r="A59" s="131"/>
      <c r="B59" s="131"/>
      <c r="C59" s="131"/>
      <c r="D59" s="131"/>
      <c r="E59" s="131" t="s">
        <v>68</v>
      </c>
      <c r="F59" s="131"/>
      <c r="G59" s="131"/>
      <c r="H59" s="131"/>
      <c r="I59" s="131"/>
      <c r="J59" s="131"/>
      <c r="K59" s="131"/>
      <c r="L59" s="131" t="s">
        <v>69</v>
      </c>
      <c r="M59" s="131"/>
      <c r="N59" s="131"/>
      <c r="O59" s="131"/>
      <c r="P59" s="131"/>
      <c r="Q59" s="131"/>
      <c r="R59" s="131"/>
      <c r="S59" s="131" t="s">
        <v>70</v>
      </c>
      <c r="T59" s="131"/>
      <c r="U59" s="131"/>
      <c r="V59" s="131"/>
      <c r="W59" s="131"/>
      <c r="X59" s="131"/>
      <c r="Y59" s="131"/>
      <c r="Z59" s="131" t="s">
        <v>71</v>
      </c>
      <c r="AA59" s="131"/>
      <c r="AB59" s="131"/>
      <c r="AC59" s="131"/>
      <c r="AD59" s="131"/>
      <c r="AE59" s="131"/>
      <c r="AF59" s="131"/>
      <c r="AG59" s="131" t="s">
        <v>72</v>
      </c>
      <c r="AH59" s="131"/>
      <c r="AI59" s="131"/>
      <c r="AJ59" s="131"/>
      <c r="AK59" s="131"/>
      <c r="AL59" s="131"/>
      <c r="AM59" s="131"/>
      <c r="AN59" s="131" t="s">
        <v>73</v>
      </c>
      <c r="AO59" s="131"/>
      <c r="AP59" s="131"/>
      <c r="AQ59" s="131"/>
      <c r="AR59" s="131"/>
    </row>
    <row r="60" spans="1:44" x14ac:dyDescent="0.3">
      <c r="A60" s="125"/>
      <c r="B60" s="126" t="str">
        <f t="shared" ref="B60:H66" si="5">B47</f>
        <v>obj</v>
      </c>
      <c r="C60" s="126" t="str">
        <f t="shared" si="5"/>
        <v xml:space="preserve">price </v>
      </c>
      <c r="D60" s="126" t="str">
        <f t="shared" si="5"/>
        <v>body quality</v>
      </c>
      <c r="E60" s="126" t="str">
        <f t="shared" si="5"/>
        <v>airbag</v>
      </c>
      <c r="F60" s="126" t="str">
        <f t="shared" si="5"/>
        <v>fuel economy</v>
      </c>
      <c r="G60" s="126" t="str">
        <f t="shared" si="5"/>
        <v>max speed</v>
      </c>
      <c r="H60" s="126" t="str">
        <f t="shared" si="5"/>
        <v>engine capacity</v>
      </c>
      <c r="I60" s="138" t="s">
        <v>54</v>
      </c>
      <c r="J60" s="138" t="s">
        <v>55</v>
      </c>
      <c r="K60" s="138" t="s">
        <v>13</v>
      </c>
      <c r="L60" s="138" t="s">
        <v>41</v>
      </c>
      <c r="M60" s="138" t="s">
        <v>19</v>
      </c>
      <c r="N60" s="138" t="s">
        <v>30</v>
      </c>
      <c r="O60" s="138" t="s">
        <v>6</v>
      </c>
      <c r="P60" s="126" t="s">
        <v>54</v>
      </c>
      <c r="Q60" s="126" t="s">
        <v>55</v>
      </c>
      <c r="R60" s="126" t="s">
        <v>13</v>
      </c>
      <c r="S60" s="126" t="s">
        <v>41</v>
      </c>
      <c r="T60" s="126" t="s">
        <v>19</v>
      </c>
      <c r="U60" s="126" t="s">
        <v>30</v>
      </c>
      <c r="V60" s="126" t="s">
        <v>6</v>
      </c>
      <c r="W60" s="138" t="s">
        <v>54</v>
      </c>
      <c r="X60" s="138" t="s">
        <v>55</v>
      </c>
      <c r="Y60" s="138" t="s">
        <v>13</v>
      </c>
      <c r="Z60" s="138" t="s">
        <v>41</v>
      </c>
      <c r="AA60" s="138" t="s">
        <v>19</v>
      </c>
      <c r="AB60" s="138" t="s">
        <v>30</v>
      </c>
      <c r="AC60" s="138" t="s">
        <v>6</v>
      </c>
      <c r="AD60" s="126" t="s">
        <v>54</v>
      </c>
      <c r="AE60" s="126" t="s">
        <v>55</v>
      </c>
      <c r="AF60" s="126" t="s">
        <v>13</v>
      </c>
      <c r="AG60" s="126" t="s">
        <v>41</v>
      </c>
      <c r="AH60" s="126" t="s">
        <v>19</v>
      </c>
      <c r="AI60" s="126" t="s">
        <v>30</v>
      </c>
      <c r="AJ60" s="126" t="s">
        <v>6</v>
      </c>
      <c r="AK60" s="138" t="s">
        <v>54</v>
      </c>
      <c r="AL60" s="138" t="s">
        <v>55</v>
      </c>
      <c r="AM60" s="138" t="s">
        <v>13</v>
      </c>
      <c r="AN60" s="138" t="s">
        <v>41</v>
      </c>
      <c r="AO60" s="138" t="s">
        <v>19</v>
      </c>
      <c r="AP60" s="138" t="s">
        <v>30</v>
      </c>
      <c r="AQ60" s="138" t="s">
        <v>6</v>
      </c>
      <c r="AR60" s="125"/>
    </row>
    <row r="61" spans="1:44" x14ac:dyDescent="0.3">
      <c r="A61" s="125"/>
      <c r="B61" s="126" t="str">
        <f t="shared" si="5"/>
        <v xml:space="preserve">price </v>
      </c>
      <c r="C61" s="126">
        <f t="shared" si="5"/>
        <v>4.1041378191933924E-2</v>
      </c>
      <c r="D61" s="126">
        <f t="shared" si="5"/>
        <v>2.4141987171725839E-2</v>
      </c>
      <c r="E61" s="126">
        <f t="shared" si="5"/>
        <v>2.4624826915160356E-2</v>
      </c>
      <c r="F61" s="126">
        <f t="shared" si="5"/>
        <v>9.9065395635702588E-2</v>
      </c>
      <c r="G61" s="126">
        <f t="shared" si="5"/>
        <v>1.6943688244376393E-2</v>
      </c>
      <c r="H61" s="126">
        <f t="shared" si="5"/>
        <v>1.2960435218505451E-2</v>
      </c>
      <c r="I61" s="138" t="s">
        <v>55</v>
      </c>
      <c r="J61" s="138">
        <f t="array" ref="J61:O66">MMULT(C61:H66,C61:H66)</f>
        <v>1.0106368343360098E-2</v>
      </c>
      <c r="K61" s="138">
        <v>1.211346521873829E-2</v>
      </c>
      <c r="L61" s="138">
        <v>1.0726934239245206E-2</v>
      </c>
      <c r="M61" s="138">
        <v>1.139504107460086E-2</v>
      </c>
      <c r="N61" s="138">
        <v>4.4567597896870509E-2</v>
      </c>
      <c r="O61" s="138">
        <v>4.5014798536104107E-3</v>
      </c>
      <c r="P61" s="126" t="s">
        <v>55</v>
      </c>
      <c r="Q61" s="126">
        <f t="array" ref="Q61:V66">MMULT(C61:H66,J61:O66)</f>
        <v>7.2029916181398828E-3</v>
      </c>
      <c r="R61" s="126">
        <v>2.8150493783656466E-3</v>
      </c>
      <c r="S61" s="126">
        <v>2.1089817137338812E-3</v>
      </c>
      <c r="T61" s="126">
        <v>4.0960370784688923E-3</v>
      </c>
      <c r="U61" s="126">
        <v>2.051668385524907E-2</v>
      </c>
      <c r="V61" s="126">
        <v>2.2830647184752749E-3</v>
      </c>
      <c r="W61" s="138" t="s">
        <v>55</v>
      </c>
      <c r="X61" s="138">
        <f t="array" ref="X61:AC66">MMULT(C61:H66,Q61:V66)</f>
        <v>3.0422392425159656E-3</v>
      </c>
      <c r="Y61" s="138">
        <v>9.5806679085353298E-4</v>
      </c>
      <c r="Z61" s="138">
        <v>7.7603011182144136E-4</v>
      </c>
      <c r="AA61" s="138">
        <v>1.9917142603144266E-3</v>
      </c>
      <c r="AB61" s="138">
        <v>5.1495699368180126E-3</v>
      </c>
      <c r="AC61" s="138">
        <v>8.8536987568158811E-4</v>
      </c>
      <c r="AD61" s="126" t="s">
        <v>55</v>
      </c>
      <c r="AE61" s="126">
        <f t="array" ref="AE61:AJ66">MMULT(C61:H66,X61:AC66)</f>
        <v>9.056415862035307E-4</v>
      </c>
      <c r="AF61" s="126">
        <v>3.9273322059336447E-4</v>
      </c>
      <c r="AG61" s="126">
        <v>3.2696818894763197E-4</v>
      </c>
      <c r="AH61" s="126">
        <v>7.1088264449614105E-4</v>
      </c>
      <c r="AI61" s="126">
        <v>1.7656192544874354E-3</v>
      </c>
      <c r="AJ61" s="126">
        <v>2.8132375131954601E-4</v>
      </c>
      <c r="AK61" s="138" t="s">
        <v>55</v>
      </c>
      <c r="AL61" s="138">
        <f t="array" ref="AL61:AQ66">MMULT(C61:H66,AE61:AJ66)</f>
        <v>3.1110695670061073E-4</v>
      </c>
      <c r="AM61" s="138">
        <v>1.3909826642444605E-4</v>
      </c>
      <c r="AN61" s="138">
        <v>1.1395774691134817E-4</v>
      </c>
      <c r="AO61" s="138">
        <v>2.3136678196805955E-4</v>
      </c>
      <c r="AP61" s="138">
        <v>6.9925460256710305E-4</v>
      </c>
      <c r="AQ61" s="138">
        <v>9.8383099174247844E-5</v>
      </c>
      <c r="AR61" s="125"/>
    </row>
    <row r="62" spans="1:44" x14ac:dyDescent="0.3">
      <c r="A62" s="125"/>
      <c r="B62" s="126" t="str">
        <f t="shared" si="5"/>
        <v>body quality</v>
      </c>
      <c r="C62" s="126">
        <f t="shared" si="5"/>
        <v>6.9770342926287671E-2</v>
      </c>
      <c r="D62" s="126">
        <f t="shared" si="5"/>
        <v>4.1041378191933924E-2</v>
      </c>
      <c r="E62" s="126">
        <f t="shared" si="5"/>
        <v>2.1986452602821744E-2</v>
      </c>
      <c r="F62" s="126">
        <f t="shared" si="5"/>
        <v>2.2922046330601395E-2</v>
      </c>
      <c r="G62" s="126">
        <f t="shared" si="5"/>
        <v>0.82082756383867861</v>
      </c>
      <c r="H62" s="126">
        <f t="shared" si="5"/>
        <v>2.3452216109676526E-2</v>
      </c>
      <c r="I62" s="138" t="s">
        <v>13</v>
      </c>
      <c r="J62" s="138">
        <v>9.2268125172104892E-2</v>
      </c>
      <c r="K62" s="138">
        <v>1.0106368343360097E-2</v>
      </c>
      <c r="L62" s="138">
        <v>8.0996262056647252E-3</v>
      </c>
      <c r="M62" s="138">
        <v>4.1001560578678563E-2</v>
      </c>
      <c r="N62" s="138">
        <v>8.7131095589825527E-2</v>
      </c>
      <c r="O62" s="138">
        <v>2.3381250740242658E-2</v>
      </c>
      <c r="P62" s="126" t="s">
        <v>13</v>
      </c>
      <c r="Q62" s="126">
        <v>1.7443660708066015E-2</v>
      </c>
      <c r="R62" s="126">
        <v>8.1338717199898932E-3</v>
      </c>
      <c r="S62" s="126">
        <v>7.0758760137170787E-3</v>
      </c>
      <c r="T62" s="126">
        <v>1.7141377852179871E-2</v>
      </c>
      <c r="U62" s="126">
        <v>2.2894793657759493E-2</v>
      </c>
      <c r="V62" s="126">
        <v>5.3661858967797016E-3</v>
      </c>
      <c r="W62" s="138" t="s">
        <v>13</v>
      </c>
      <c r="X62" s="138">
        <v>5.0322884748130788E-3</v>
      </c>
      <c r="Y62" s="138">
        <v>2.9890412925523903E-3</v>
      </c>
      <c r="Z62" s="138">
        <v>2.4776227271842408E-3</v>
      </c>
      <c r="AA62" s="138">
        <v>4.2306476553589283E-3</v>
      </c>
      <c r="AB62" s="138">
        <v>1.4199933900565551E-2</v>
      </c>
      <c r="AC62" s="138">
        <v>1.7281353537568168E-3</v>
      </c>
      <c r="AD62" s="126" t="s">
        <v>13</v>
      </c>
      <c r="AE62" s="126">
        <v>2.2927171170942333E-3</v>
      </c>
      <c r="AF62" s="126">
        <v>8.9811727013359337E-4</v>
      </c>
      <c r="AG62" s="126">
        <v>7.1623211687143486E-4</v>
      </c>
      <c r="AH62" s="126">
        <v>1.5045046191701117E-3</v>
      </c>
      <c r="AI62" s="126">
        <v>5.2277153270661163E-3</v>
      </c>
      <c r="AJ62" s="126">
        <v>7.0876893245165097E-4</v>
      </c>
      <c r="AK62" s="138" t="s">
        <v>13</v>
      </c>
      <c r="AL62" s="138">
        <v>8.4313989916933818E-4</v>
      </c>
      <c r="AM62" s="138">
        <v>3.192712280292817E-4</v>
      </c>
      <c r="AN62" s="138">
        <v>2.6066732134317653E-4</v>
      </c>
      <c r="AO62" s="138">
        <v>5.9522029818792925E-4</v>
      </c>
      <c r="AP62" s="138">
        <v>1.6279579118556634E-3</v>
      </c>
      <c r="AQ62" s="138">
        <v>2.5536554928039864E-4</v>
      </c>
      <c r="AR62" s="125"/>
    </row>
    <row r="63" spans="1:44" x14ac:dyDescent="0.3">
      <c r="A63" s="125"/>
      <c r="B63" s="126" t="str">
        <f t="shared" si="5"/>
        <v>airbag</v>
      </c>
      <c r="C63" s="126">
        <f t="shared" si="5"/>
        <v>6.8402296986556532E-2</v>
      </c>
      <c r="D63" s="126">
        <f t="shared" si="5"/>
        <v>7.6610572624943321E-2</v>
      </c>
      <c r="E63" s="126">
        <f t="shared" si="5"/>
        <v>4.1041378191933924E-2</v>
      </c>
      <c r="F63" s="126">
        <f t="shared" si="5"/>
        <v>2.1819466886850949E-2</v>
      </c>
      <c r="G63" s="126">
        <f t="shared" si="5"/>
        <v>0.71822411835884381</v>
      </c>
      <c r="H63" s="126">
        <f t="shared" si="5"/>
        <v>4.4772412573018831E-2</v>
      </c>
      <c r="I63" s="138" t="s">
        <v>41</v>
      </c>
      <c r="J63" s="138">
        <v>8.8549227204998623E-2</v>
      </c>
      <c r="K63" s="138">
        <v>1.4232655589208892E-2</v>
      </c>
      <c r="L63" s="138">
        <v>1.0106368343360098E-2</v>
      </c>
      <c r="M63" s="138">
        <v>4.1036233334246712E-2</v>
      </c>
      <c r="N63" s="138">
        <v>0.12725728603618849</v>
      </c>
      <c r="O63" s="138">
        <v>2.350429823760455E-2</v>
      </c>
      <c r="P63" s="126" t="s">
        <v>41</v>
      </c>
      <c r="Q63" s="126">
        <v>2.1721769876275061E-2</v>
      </c>
      <c r="R63" s="126">
        <v>8.4609034678107091E-3</v>
      </c>
      <c r="S63" s="126">
        <v>7.2587913167102662E-3</v>
      </c>
      <c r="T63" s="126">
        <v>1.8339297655562883E-2</v>
      </c>
      <c r="U63" s="126">
        <v>2.9317374633148922E-2</v>
      </c>
      <c r="V63" s="126">
        <v>6.4511828107656991E-3</v>
      </c>
      <c r="W63" s="138" t="s">
        <v>41</v>
      </c>
      <c r="X63" s="138">
        <v>6.0430532781212236E-3</v>
      </c>
      <c r="Y63" s="138">
        <v>3.2988925751081871E-3</v>
      </c>
      <c r="Z63" s="138">
        <v>2.7460247884032278E-3</v>
      </c>
      <c r="AA63" s="138">
        <v>5.0730464563418839E-3</v>
      </c>
      <c r="AB63" s="138">
        <v>1.5071108699961581E-2</v>
      </c>
      <c r="AC63" s="138">
        <v>2.011179754963763E-3</v>
      </c>
      <c r="AD63" s="126" t="s">
        <v>41</v>
      </c>
      <c r="AE63" s="126">
        <v>2.5118915698276664E-3</v>
      </c>
      <c r="AF63" s="126">
        <v>1.0398174479527237E-3</v>
      </c>
      <c r="AG63" s="126">
        <v>8.3667228965673393E-4</v>
      </c>
      <c r="AH63" s="126">
        <v>1.7172496477136521E-3</v>
      </c>
      <c r="AI63" s="126">
        <v>5.7883672730198159E-3</v>
      </c>
      <c r="AJ63" s="126">
        <v>7.8486335406376465E-4</v>
      </c>
      <c r="AK63" s="138" t="s">
        <v>41</v>
      </c>
      <c r="AL63" s="138">
        <v>9.3950197186090667E-4</v>
      </c>
      <c r="AM63" s="138">
        <v>3.6185415017065439E-4</v>
      </c>
      <c r="AN63" s="138">
        <v>2.9472384258390379E-4</v>
      </c>
      <c r="AO63" s="138">
        <v>6.6052056891806343E-4</v>
      </c>
      <c r="AP63" s="138">
        <v>1.8731477715951651E-3</v>
      </c>
      <c r="AQ63" s="138">
        <v>2.8613879179470745E-4</v>
      </c>
      <c r="AR63" s="125"/>
    </row>
    <row r="64" spans="1:44" x14ac:dyDescent="0.3">
      <c r="A64" s="125"/>
      <c r="B64" s="126" t="str">
        <f t="shared" si="5"/>
        <v>fuel economy</v>
      </c>
      <c r="C64" s="126">
        <f t="shared" si="5"/>
        <v>1.7002856679515482E-2</v>
      </c>
      <c r="D64" s="126">
        <f t="shared" si="5"/>
        <v>7.3483610476986441E-2</v>
      </c>
      <c r="E64" s="126">
        <f t="shared" si="5"/>
        <v>7.719687802768524E-2</v>
      </c>
      <c r="F64" s="126">
        <f t="shared" si="5"/>
        <v>4.1041378191933924E-2</v>
      </c>
      <c r="G64" s="126">
        <f t="shared" si="5"/>
        <v>4.7881607890589581E-2</v>
      </c>
      <c r="H64" s="126">
        <f t="shared" si="5"/>
        <v>1.3845284209327105E-2</v>
      </c>
      <c r="I64" s="138" t="s">
        <v>19</v>
      </c>
      <c r="J64" s="138">
        <v>1.8362430102587722E-2</v>
      </c>
      <c r="K64" s="138">
        <v>1.3448975138748882E-2</v>
      </c>
      <c r="L64" s="138">
        <v>9.0040389192596847E-3</v>
      </c>
      <c r="M64" s="138">
        <v>1.0106368343360097E-2</v>
      </c>
      <c r="N64" s="138">
        <v>0.12097477979444443</v>
      </c>
      <c r="O64" s="138">
        <v>7.6593973151030149E-3</v>
      </c>
      <c r="P64" s="126" t="s">
        <v>19</v>
      </c>
      <c r="Q64" s="126">
        <v>1.5501406583666423E-2</v>
      </c>
      <c r="R64" s="126">
        <v>3.2260920120053566E-3</v>
      </c>
      <c r="S64" s="126">
        <v>2.4694540397011654E-3</v>
      </c>
      <c r="T64" s="126">
        <v>7.9261218686138904E-3</v>
      </c>
      <c r="U64" s="126">
        <v>2.3816331948611952E-2</v>
      </c>
      <c r="V64" s="126">
        <v>4.2479303460523738E-3</v>
      </c>
      <c r="W64" s="138" t="s">
        <v>19</v>
      </c>
      <c r="X64" s="138">
        <v>4.0846606778801552E-3</v>
      </c>
      <c r="Y64" s="138">
        <v>1.6322337183688083E-3</v>
      </c>
      <c r="Z64" s="138">
        <v>1.3815385160632883E-3</v>
      </c>
      <c r="AA64" s="138">
        <v>3.3433976745528109E-3</v>
      </c>
      <c r="AB64" s="138">
        <v>6.3464048467467447E-3</v>
      </c>
      <c r="AC64" s="138">
        <v>1.2297534875868733E-3</v>
      </c>
      <c r="AD64" s="126" t="s">
        <v>19</v>
      </c>
      <c r="AE64" s="126">
        <v>1.2235980586457558E-3</v>
      </c>
      <c r="AF64" s="126">
        <v>6.1847345774076275E-4</v>
      </c>
      <c r="AG64" s="126">
        <v>5.1241980429211442E-4</v>
      </c>
      <c r="AH64" s="126">
        <v>9.8229043841240081E-4</v>
      </c>
      <c r="AI64" s="126">
        <v>2.9101222458442042E-3</v>
      </c>
      <c r="AJ64" s="126">
        <v>3.9867161741792301E-4</v>
      </c>
      <c r="AK64" s="138" t="s">
        <v>19</v>
      </c>
      <c r="AL64" s="138">
        <v>4.8623394144465073E-4</v>
      </c>
      <c r="AM64" s="138">
        <v>2.0096744277602239E-4</v>
      </c>
      <c r="AN64" s="138">
        <v>1.6241250940308549E-4</v>
      </c>
      <c r="AO64" s="138">
        <v>3.37763146649683E-4</v>
      </c>
      <c r="AP64" s="138">
        <v>1.0915272182023257E-3</v>
      </c>
      <c r="AQ64" s="138">
        <v>1.5151614618583338E-4</v>
      </c>
      <c r="AR64" s="125"/>
    </row>
    <row r="65" spans="1:44" x14ac:dyDescent="0.3">
      <c r="A65" s="125"/>
      <c r="B65" s="126" t="str">
        <f t="shared" si="5"/>
        <v>max speed</v>
      </c>
      <c r="C65" s="126">
        <f t="shared" si="5"/>
        <v>9.9411338287128836E-2</v>
      </c>
      <c r="D65" s="126">
        <f t="shared" si="5"/>
        <v>2.0520689095966959E-3</v>
      </c>
      <c r="E65" s="126">
        <f t="shared" si="5"/>
        <v>2.3452216109676525E-3</v>
      </c>
      <c r="F65" s="126">
        <f t="shared" si="5"/>
        <v>3.5178324164514788E-2</v>
      </c>
      <c r="G65" s="126">
        <f t="shared" si="5"/>
        <v>4.1041378191933924E-2</v>
      </c>
      <c r="H65" s="126">
        <f t="shared" si="5"/>
        <v>2.3452216109676526E-2</v>
      </c>
      <c r="I65" s="138" t="s">
        <v>30</v>
      </c>
      <c r="J65" s="138">
        <v>1.2109633120596387E-2</v>
      </c>
      <c r="K65" s="138">
        <v>7.0175204906216346E-3</v>
      </c>
      <c r="L65" s="138">
        <v>6.2835657666790827E-3</v>
      </c>
      <c r="M65" s="138">
        <v>1.5687124884240046E-2</v>
      </c>
      <c r="N65" s="138">
        <v>1.0106368343360097E-2</v>
      </c>
      <c r="O65" s="138">
        <v>3.8536174405944239E-3</v>
      </c>
      <c r="P65" s="126" t="s">
        <v>30</v>
      </c>
      <c r="Q65" s="126">
        <v>3.1886676546781403E-3</v>
      </c>
      <c r="R65" s="126">
        <v>2.5120085290287653E-3</v>
      </c>
      <c r="S65" s="126">
        <v>2.0900508965765825E-3</v>
      </c>
      <c r="T65" s="126">
        <v>2.9657767284569743E-3</v>
      </c>
      <c r="U65" s="126">
        <v>1.1921044726618063E-2</v>
      </c>
      <c r="V65" s="126">
        <v>1.2152201293234063E-3</v>
      </c>
      <c r="W65" s="138" t="s">
        <v>30</v>
      </c>
      <c r="X65" s="138">
        <v>1.8425442920650375E-3</v>
      </c>
      <c r="Y65" s="138">
        <v>6.6987588940594864E-4</v>
      </c>
      <c r="Z65" s="138">
        <v>5.2215342742131332E-4</v>
      </c>
      <c r="AA65" s="138">
        <v>1.1079944365181768E-3</v>
      </c>
      <c r="AB65" s="138">
        <v>4.3356208984699105E-3</v>
      </c>
      <c r="AC65" s="138">
        <v>5.6432655630674219E-4</v>
      </c>
      <c r="AD65" s="126" t="s">
        <v>30</v>
      </c>
      <c r="AE65" s="126">
        <v>6.8126581002491283E-4</v>
      </c>
      <c r="AF65" s="126">
        <v>2.4282550222426885E-4</v>
      </c>
      <c r="AG65" s="126">
        <v>1.984628062421719E-4</v>
      </c>
      <c r="AH65" s="126">
        <v>4.7592896057766675E-4</v>
      </c>
      <c r="AI65" s="126">
        <v>1.2276189819765426E-3</v>
      </c>
      <c r="AJ65" s="126">
        <v>2.031494745160992E-4</v>
      </c>
      <c r="AK65" s="138" t="s">
        <v>30</v>
      </c>
      <c r="AL65" s="138">
        <v>2.1501100825274295E-4</v>
      </c>
      <c r="AM65" s="138">
        <v>9.370017527104521E-5</v>
      </c>
      <c r="AN65" s="138">
        <v>7.7522119503312608E-5</v>
      </c>
      <c r="AO65" s="138">
        <v>1.6481947015968985E-4</v>
      </c>
      <c r="AP65" s="138">
        <v>4.411638989775615E-4</v>
      </c>
      <c r="AQ65" s="138">
        <v>6.7127247995398708E-5</v>
      </c>
      <c r="AR65" s="125"/>
    </row>
    <row r="66" spans="1:44" x14ac:dyDescent="0.3">
      <c r="A66" s="125"/>
      <c r="B66" s="126" t="str">
        <f t="shared" si="5"/>
        <v>engine capacity</v>
      </c>
      <c r="C66" s="126">
        <f t="shared" si="5"/>
        <v>0.12996436427445743</v>
      </c>
      <c r="D66" s="126">
        <f t="shared" si="5"/>
        <v>7.1822411835884364E-2</v>
      </c>
      <c r="E66" s="126">
        <f t="shared" si="5"/>
        <v>3.7621263342606091E-2</v>
      </c>
      <c r="F66" s="126">
        <f t="shared" si="5"/>
        <v>0.12165837106894699</v>
      </c>
      <c r="G66" s="126">
        <f t="shared" si="5"/>
        <v>7.1822411835884364E-2</v>
      </c>
      <c r="H66" s="126">
        <f t="shared" si="5"/>
        <v>4.1041378191933924E-2</v>
      </c>
      <c r="I66" s="138" t="s">
        <v>6</v>
      </c>
      <c r="J66" s="138">
        <v>2.746079030984086E-2</v>
      </c>
      <c r="K66" s="138">
        <v>2.1002446965508865E-2</v>
      </c>
      <c r="L66" s="138">
        <v>1.742761292769756E-2</v>
      </c>
      <c r="M66" s="138">
        <v>2.7854810247165462E-2</v>
      </c>
      <c r="N66" s="138">
        <v>9.9896969656959267E-2</v>
      </c>
      <c r="O66" s="138">
        <v>1.0106368343360095E-2</v>
      </c>
      <c r="P66" s="126" t="s">
        <v>6</v>
      </c>
      <c r="Q66" s="126">
        <v>1.5502435890640386E-2</v>
      </c>
      <c r="R66" s="126">
        <v>5.8377980631608914E-3</v>
      </c>
      <c r="S66" s="126">
        <v>4.6180390323594129E-3</v>
      </c>
      <c r="T66" s="126">
        <v>9.469026435645244E-3</v>
      </c>
      <c r="U66" s="126">
        <v>3.6381112540761512E-2</v>
      </c>
      <c r="V66" s="126">
        <v>4.7719763659810613E-3</v>
      </c>
      <c r="W66" s="138" t="s">
        <v>6</v>
      </c>
      <c r="X66" s="138">
        <v>5.757313444641126E-3</v>
      </c>
      <c r="Y66" s="138">
        <v>2.0808511531573378E-3</v>
      </c>
      <c r="Z66" s="138">
        <v>1.6954567871074351E-3</v>
      </c>
      <c r="AA66" s="138">
        <v>4.0193317091887339E-3</v>
      </c>
      <c r="AB66" s="138">
        <v>1.0660539077243514E-2</v>
      </c>
      <c r="AC66" s="138">
        <v>1.7247559292694202E-3</v>
      </c>
      <c r="AD66" s="126" t="s">
        <v>6</v>
      </c>
      <c r="AE66" s="126">
        <v>1.8497183010708473E-3</v>
      </c>
      <c r="AF66" s="126">
        <v>7.9539119894727901E-4</v>
      </c>
      <c r="AG66" s="126">
        <v>6.5727594888312477E-4</v>
      </c>
      <c r="AH66" s="126">
        <v>1.4048516729860804E-3</v>
      </c>
      <c r="AI66" s="126">
        <v>3.7771394745729553E-3</v>
      </c>
      <c r="AJ66" s="126">
        <v>5.7577596615228811E-4</v>
      </c>
      <c r="AK66" s="138" t="s">
        <v>6</v>
      </c>
      <c r="AL66" s="138">
        <v>6.5057622883321088E-4</v>
      </c>
      <c r="AM66" s="138">
        <v>2.7999225548365632E-4</v>
      </c>
      <c r="AN66" s="138">
        <v>2.2898214631546671E-4</v>
      </c>
      <c r="AO66" s="138">
        <v>4.7639493183402595E-4</v>
      </c>
      <c r="AP66" s="138">
        <v>1.419930694445121E-3</v>
      </c>
      <c r="AQ66" s="138">
        <v>2.0371817155987482E-4</v>
      </c>
      <c r="AR66" s="125"/>
    </row>
    <row r="67" spans="1:44" x14ac:dyDescent="0.3">
      <c r="A67" s="125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5"/>
      <c r="AH67" s="125"/>
      <c r="AI67" s="125"/>
      <c r="AJ67" s="125"/>
      <c r="AK67" s="125"/>
      <c r="AL67" s="125"/>
      <c r="AM67" s="125"/>
      <c r="AN67" s="125"/>
      <c r="AO67" s="125"/>
      <c r="AP67" s="125"/>
      <c r="AQ67" s="125"/>
      <c r="AR67" s="125"/>
    </row>
    <row r="68" spans="1:44" x14ac:dyDescent="0.3">
      <c r="A68" s="125"/>
      <c r="B68" s="126" t="s">
        <v>54</v>
      </c>
      <c r="C68" s="126" t="s">
        <v>55</v>
      </c>
      <c r="D68" s="126" t="s">
        <v>13</v>
      </c>
      <c r="E68" s="126" t="s">
        <v>41</v>
      </c>
      <c r="F68" s="126" t="s">
        <v>19</v>
      </c>
      <c r="G68" s="126" t="s">
        <v>30</v>
      </c>
      <c r="H68" s="126" t="s">
        <v>6</v>
      </c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125"/>
      <c r="AO68" s="125"/>
      <c r="AP68" s="125"/>
      <c r="AQ68" s="125"/>
      <c r="AR68" s="125"/>
    </row>
    <row r="69" spans="1:44" x14ac:dyDescent="0.3">
      <c r="A69" s="125"/>
      <c r="B69" s="126" t="s">
        <v>55</v>
      </c>
      <c r="C69" s="126">
        <f t="shared" ref="C69:H74" si="6">C61+J61+Q61+X61+AE61+AL61</f>
        <v>6.2609725938854013E-2</v>
      </c>
      <c r="D69" s="126">
        <f t="shared" si="6"/>
        <v>4.0560400046701119E-2</v>
      </c>
      <c r="E69" s="126">
        <f t="shared" si="6"/>
        <v>3.8677698915819861E-2</v>
      </c>
      <c r="F69" s="126">
        <f t="shared" si="6"/>
        <v>0.11749043747555098</v>
      </c>
      <c r="G69" s="126">
        <f t="shared" si="6"/>
        <v>8.9642413790368539E-2</v>
      </c>
      <c r="H69" s="126">
        <f t="shared" si="6"/>
        <v>2.1010056516766518E-2</v>
      </c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5"/>
      <c r="AH69" s="125"/>
      <c r="AI69" s="125"/>
      <c r="AJ69" s="125"/>
      <c r="AK69" s="125"/>
      <c r="AL69" s="125"/>
      <c r="AM69" s="125"/>
      <c r="AN69" s="125"/>
      <c r="AO69" s="125"/>
      <c r="AP69" s="125"/>
      <c r="AQ69" s="125"/>
      <c r="AR69" s="125"/>
    </row>
    <row r="70" spans="1:44" x14ac:dyDescent="0.3">
      <c r="A70" s="125"/>
      <c r="B70" s="126" t="s">
        <v>13</v>
      </c>
      <c r="C70" s="126">
        <f t="shared" si="6"/>
        <v>0.18765027429753522</v>
      </c>
      <c r="D70" s="126">
        <f t="shared" si="6"/>
        <v>6.3488048045999182E-2</v>
      </c>
      <c r="E70" s="126">
        <f t="shared" si="6"/>
        <v>4.0616476987602394E-2</v>
      </c>
      <c r="F70" s="126">
        <f t="shared" si="6"/>
        <v>8.7395357334176776E-2</v>
      </c>
      <c r="G70" s="126">
        <f t="shared" si="6"/>
        <v>0.95190906022575095</v>
      </c>
      <c r="H70" s="126">
        <f t="shared" si="6"/>
        <v>5.4891922582187745E-2</v>
      </c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55" t="s">
        <v>88</v>
      </c>
      <c r="V70" s="155" t="s">
        <v>87</v>
      </c>
      <c r="W70" s="125"/>
      <c r="X70" s="125"/>
      <c r="Y70" s="125"/>
      <c r="Z70" s="125"/>
      <c r="AA70" s="125"/>
      <c r="AB70" s="125"/>
      <c r="AC70" s="125"/>
      <c r="AD70" s="125"/>
      <c r="AE70" s="125"/>
      <c r="AF70" s="125"/>
      <c r="AG70" s="125"/>
      <c r="AH70" s="125"/>
      <c r="AI70" s="125"/>
      <c r="AJ70" s="125"/>
      <c r="AK70" s="125"/>
      <c r="AL70" s="125"/>
      <c r="AM70" s="125"/>
      <c r="AN70" s="125"/>
      <c r="AO70" s="125"/>
      <c r="AP70" s="125"/>
      <c r="AQ70" s="125"/>
      <c r="AR70" s="125"/>
    </row>
    <row r="71" spans="1:44" ht="15.6" x14ac:dyDescent="0.3">
      <c r="A71" s="129" t="s">
        <v>74</v>
      </c>
      <c r="B71" s="126" t="s">
        <v>41</v>
      </c>
      <c r="C71" s="126">
        <f t="shared" si="6"/>
        <v>0.18816774088764002</v>
      </c>
      <c r="D71" s="126">
        <f t="shared" si="6"/>
        <v>0.10400469585519448</v>
      </c>
      <c r="E71" s="126">
        <f t="shared" si="6"/>
        <v>6.2283958772648161E-2</v>
      </c>
      <c r="F71" s="126">
        <f t="shared" si="6"/>
        <v>8.8645814549634133E-2</v>
      </c>
      <c r="G71" s="126">
        <f t="shared" si="6"/>
        <v>0.89753140277275767</v>
      </c>
      <c r="H71" s="126">
        <f t="shared" si="6"/>
        <v>7.7810075522211308E-2</v>
      </c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55">
        <v>-0.42373185310593842</v>
      </c>
      <c r="V71" s="155">
        <v>1.1637133184740605</v>
      </c>
      <c r="W71" s="125"/>
      <c r="X71" s="125"/>
      <c r="Y71" s="125"/>
      <c r="Z71" s="125"/>
      <c r="AA71" s="125"/>
      <c r="AB71" s="125"/>
      <c r="AC71" s="125"/>
      <c r="AD71" s="125"/>
      <c r="AE71" s="125"/>
      <c r="AF71" s="125"/>
      <c r="AG71" s="125"/>
      <c r="AH71" s="125"/>
      <c r="AI71" s="125"/>
      <c r="AJ71" s="125"/>
      <c r="AK71" s="125"/>
      <c r="AL71" s="125"/>
      <c r="AM71" s="125"/>
      <c r="AN71" s="125"/>
      <c r="AO71" s="125"/>
      <c r="AP71" s="125"/>
      <c r="AQ71" s="125"/>
      <c r="AR71" s="125"/>
    </row>
    <row r="72" spans="1:44" x14ac:dyDescent="0.3">
      <c r="A72" s="125"/>
      <c r="B72" s="126" t="s">
        <v>19</v>
      </c>
      <c r="C72" s="126">
        <f t="shared" si="6"/>
        <v>5.6661186043740194E-2</v>
      </c>
      <c r="D72" s="126">
        <f t="shared" si="6"/>
        <v>9.2610352246626268E-2</v>
      </c>
      <c r="E72" s="126">
        <f t="shared" si="6"/>
        <v>9.0726741816404596E-2</v>
      </c>
      <c r="F72" s="126">
        <f t="shared" si="6"/>
        <v>6.3737319663522807E-2</v>
      </c>
      <c r="G72" s="126">
        <f t="shared" si="6"/>
        <v>0.20302077394443926</v>
      </c>
      <c r="H72" s="126">
        <f t="shared" si="6"/>
        <v>2.7532553121673124E-2</v>
      </c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55">
        <v>0.97088075231044035</v>
      </c>
      <c r="V72" s="155">
        <v>1.8010215266360641</v>
      </c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5"/>
      <c r="AH72" s="125"/>
      <c r="AI72" s="125"/>
      <c r="AJ72" s="125"/>
      <c r="AK72" s="125"/>
      <c r="AL72" s="125"/>
      <c r="AM72" s="125"/>
      <c r="AN72" s="125"/>
      <c r="AO72" s="125"/>
      <c r="AP72" s="125"/>
      <c r="AQ72" s="125"/>
      <c r="AR72" s="125"/>
    </row>
    <row r="73" spans="1:44" x14ac:dyDescent="0.3">
      <c r="A73" s="125"/>
      <c r="B73" s="126" t="s">
        <v>30</v>
      </c>
      <c r="C73" s="126">
        <f t="shared" si="6"/>
        <v>0.11744846017274606</v>
      </c>
      <c r="D73" s="126">
        <f t="shared" si="6"/>
        <v>1.2587999496148358E-2</v>
      </c>
      <c r="E73" s="126">
        <f t="shared" si="6"/>
        <v>1.1516976627390116E-2</v>
      </c>
      <c r="F73" s="126">
        <f t="shared" si="6"/>
        <v>5.5579968644467341E-2</v>
      </c>
      <c r="G73" s="126">
        <f t="shared" si="6"/>
        <v>6.9073195041336105E-2</v>
      </c>
      <c r="H73" s="126">
        <f t="shared" si="6"/>
        <v>2.9355656958412593E-2</v>
      </c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55">
        <v>1.1123732050552515</v>
      </c>
      <c r="V73" s="155">
        <v>1.7245141716649199</v>
      </c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5"/>
      <c r="AH73" s="125"/>
      <c r="AI73" s="125"/>
      <c r="AJ73" s="125"/>
      <c r="AK73" s="125"/>
      <c r="AL73" s="125"/>
      <c r="AM73" s="125"/>
      <c r="AN73" s="125"/>
      <c r="AO73" s="125"/>
      <c r="AP73" s="125"/>
      <c r="AQ73" s="125"/>
      <c r="AR73" s="125"/>
    </row>
    <row r="74" spans="1:44" x14ac:dyDescent="0.3">
      <c r="A74" s="125"/>
      <c r="B74" s="126" t="s">
        <v>6</v>
      </c>
      <c r="C74" s="126">
        <f t="shared" si="6"/>
        <v>0.18118519844948383</v>
      </c>
      <c r="D74" s="126">
        <f t="shared" si="6"/>
        <v>0.10181889147214239</v>
      </c>
      <c r="E74" s="126">
        <f t="shared" si="6"/>
        <v>6.2248630184969088E-2</v>
      </c>
      <c r="F74" s="126">
        <f t="shared" si="6"/>
        <v>0.16488278606576651</v>
      </c>
      <c r="G74" s="126">
        <f t="shared" si="6"/>
        <v>0.22395810327986673</v>
      </c>
      <c r="H74" s="126">
        <f t="shared" si="6"/>
        <v>5.8423972968256667E-2</v>
      </c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55">
        <v>-4.3442756896712287E-2</v>
      </c>
      <c r="V74" s="155">
        <v>1.1120206105695249</v>
      </c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5"/>
      <c r="AH74" s="125"/>
      <c r="AI74" s="125"/>
      <c r="AJ74" s="125"/>
      <c r="AK74" s="125"/>
      <c r="AL74" s="125"/>
      <c r="AM74" s="125"/>
      <c r="AN74" s="125"/>
      <c r="AO74" s="125"/>
      <c r="AP74" s="125"/>
      <c r="AQ74" s="125"/>
      <c r="AR74" s="125"/>
    </row>
    <row r="75" spans="1:44" x14ac:dyDescent="0.3">
      <c r="A75" s="125"/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33" t="s">
        <v>55</v>
      </c>
      <c r="N75" s="133" t="s">
        <v>13</v>
      </c>
      <c r="O75" s="133" t="s">
        <v>41</v>
      </c>
      <c r="P75" s="133" t="s">
        <v>19</v>
      </c>
      <c r="Q75" s="133" t="s">
        <v>30</v>
      </c>
      <c r="R75" s="133" t="s">
        <v>6</v>
      </c>
      <c r="S75" s="125"/>
      <c r="T75" s="125"/>
      <c r="U75" s="155">
        <v>-2.1395726921140188</v>
      </c>
      <c r="V75" s="155">
        <v>2.7306972059950194</v>
      </c>
      <c r="W75" s="125"/>
      <c r="X75" s="125"/>
      <c r="Y75" s="125"/>
      <c r="Z75" s="125"/>
      <c r="AA75" s="125"/>
      <c r="AB75" s="125"/>
      <c r="AC75" s="125"/>
      <c r="AD75" s="125"/>
      <c r="AE75" s="125"/>
      <c r="AF75" s="125"/>
      <c r="AG75" s="125"/>
      <c r="AH75" s="125"/>
      <c r="AI75" s="125"/>
      <c r="AJ75" s="125"/>
      <c r="AK75" s="125"/>
      <c r="AL75" s="125"/>
      <c r="AM75" s="125"/>
      <c r="AN75" s="125"/>
      <c r="AO75" s="125"/>
      <c r="AP75" s="125"/>
      <c r="AQ75" s="125"/>
      <c r="AR75" s="125"/>
    </row>
    <row r="76" spans="1:44" x14ac:dyDescent="0.3">
      <c r="A76" s="125"/>
      <c r="B76" s="126" t="s">
        <v>75</v>
      </c>
      <c r="C76" s="126">
        <f>SUM(C69:H69)</f>
        <v>0.36999073268406102</v>
      </c>
      <c r="D76" s="125"/>
      <c r="E76" s="126" t="s">
        <v>81</v>
      </c>
      <c r="F76" s="126" t="s">
        <v>82</v>
      </c>
      <c r="G76" s="126" t="s">
        <v>83</v>
      </c>
      <c r="H76" s="126" t="s">
        <v>84</v>
      </c>
      <c r="I76" s="126" t="s">
        <v>85</v>
      </c>
      <c r="J76" s="126" t="s">
        <v>86</v>
      </c>
      <c r="K76" s="125"/>
      <c r="L76" s="126" t="s">
        <v>87</v>
      </c>
      <c r="M76" s="126">
        <f>C76+E77</f>
        <v>1.1637133184740605</v>
      </c>
      <c r="N76" s="126">
        <f>C77+F77</f>
        <v>1.8010215266360641</v>
      </c>
      <c r="O76" s="126">
        <f>C78+G77</f>
        <v>1.7245141716649199</v>
      </c>
      <c r="P76" s="126">
        <f>C79+H77</f>
        <v>1.1120206105695249</v>
      </c>
      <c r="Q76" s="126">
        <f>C80+I77</f>
        <v>2.7306972059950194</v>
      </c>
      <c r="R76" s="126">
        <f>C81+J77</f>
        <v>1.0615418200899933</v>
      </c>
      <c r="S76" s="125"/>
      <c r="T76" s="125"/>
      <c r="U76" s="155">
        <v>0.5234933447509772</v>
      </c>
      <c r="V76" s="155">
        <v>1.0615418200899933</v>
      </c>
      <c r="W76" s="125"/>
      <c r="X76" s="125"/>
      <c r="Y76" s="125"/>
      <c r="Z76" s="125"/>
      <c r="AA76" s="125"/>
      <c r="AB76" s="125"/>
      <c r="AC76" s="125"/>
      <c r="AD76" s="125"/>
      <c r="AE76" s="125"/>
      <c r="AF76" s="125"/>
      <c r="AG76" s="125"/>
      <c r="AH76" s="125"/>
      <c r="AI76" s="125"/>
      <c r="AJ76" s="125"/>
      <c r="AK76" s="125"/>
      <c r="AL76" s="125"/>
      <c r="AM76" s="125"/>
      <c r="AN76" s="125"/>
      <c r="AO76" s="125"/>
      <c r="AP76" s="125"/>
      <c r="AQ76" s="125"/>
      <c r="AR76" s="125"/>
    </row>
    <row r="77" spans="1:44" x14ac:dyDescent="0.3">
      <c r="A77" s="125"/>
      <c r="B77" s="126" t="s">
        <v>76</v>
      </c>
      <c r="C77" s="126">
        <f t="shared" ref="C77:C81" si="7">SUM(C70:H70)</f>
        <v>1.3859511394732522</v>
      </c>
      <c r="D77" s="125"/>
      <c r="E77" s="126">
        <f>SUM(C69:C74)</f>
        <v>0.79372258578999944</v>
      </c>
      <c r="F77" s="126">
        <f t="shared" ref="F77:J77" si="8">SUM(D69:D74)</f>
        <v>0.4150703871628118</v>
      </c>
      <c r="G77" s="126">
        <f t="shared" si="8"/>
        <v>0.30607048330483422</v>
      </c>
      <c r="H77" s="126">
        <f t="shared" si="8"/>
        <v>0.57773168373311856</v>
      </c>
      <c r="I77" s="126">
        <f t="shared" si="8"/>
        <v>2.4351349490545191</v>
      </c>
      <c r="J77" s="126">
        <f t="shared" si="8"/>
        <v>0.269024237669508</v>
      </c>
      <c r="K77" s="125"/>
      <c r="L77" s="126" t="s">
        <v>88</v>
      </c>
      <c r="M77" s="126">
        <f>C76-E77</f>
        <v>-0.42373185310593842</v>
      </c>
      <c r="N77" s="126">
        <f>C77-F77</f>
        <v>0.97088075231044035</v>
      </c>
      <c r="O77" s="126">
        <f>C78-G77</f>
        <v>1.1123732050552515</v>
      </c>
      <c r="P77" s="126">
        <f>C79-H77</f>
        <v>-4.3442756896712287E-2</v>
      </c>
      <c r="Q77" s="126">
        <f>C80-I77</f>
        <v>-2.1395726921140188</v>
      </c>
      <c r="R77" s="126">
        <f>C81-J77</f>
        <v>0.5234933447509772</v>
      </c>
      <c r="S77" s="125"/>
      <c r="T77" s="125"/>
      <c r="U77" s="125"/>
      <c r="V77" s="125"/>
      <c r="W77" s="125"/>
      <c r="X77" s="125"/>
      <c r="Y77" s="125"/>
      <c r="Z77" s="125"/>
      <c r="AA77" s="125"/>
      <c r="AB77" s="125"/>
      <c r="AC77" s="125"/>
      <c r="AD77" s="125"/>
      <c r="AE77" s="125"/>
      <c r="AF77" s="125"/>
      <c r="AG77" s="125"/>
      <c r="AH77" s="125"/>
      <c r="AI77" s="125"/>
      <c r="AJ77" s="125"/>
      <c r="AK77" s="125"/>
      <c r="AL77" s="125"/>
      <c r="AM77" s="125"/>
      <c r="AN77" s="125"/>
      <c r="AO77" s="125"/>
      <c r="AP77" s="125"/>
      <c r="AQ77" s="125"/>
      <c r="AR77" s="125"/>
    </row>
    <row r="78" spans="1:44" ht="15" x14ac:dyDescent="0.35">
      <c r="A78" s="125"/>
      <c r="B78" s="126" t="s">
        <v>77</v>
      </c>
      <c r="C78" s="126">
        <f t="shared" si="7"/>
        <v>1.4184436883600857</v>
      </c>
      <c r="D78" s="125"/>
      <c r="E78" s="125"/>
      <c r="F78" s="125"/>
      <c r="G78" s="125"/>
      <c r="H78" s="125"/>
      <c r="I78" s="125"/>
      <c r="J78" s="125"/>
      <c r="K78" s="125"/>
      <c r="L78" s="125"/>
      <c r="M78" s="134" t="s">
        <v>90</v>
      </c>
      <c r="N78" s="134" t="s">
        <v>89</v>
      </c>
      <c r="O78" s="134" t="s">
        <v>89</v>
      </c>
      <c r="P78" s="134" t="s">
        <v>90</v>
      </c>
      <c r="Q78" s="134" t="s">
        <v>90</v>
      </c>
      <c r="R78" s="134" t="s">
        <v>89</v>
      </c>
      <c r="S78" s="125"/>
      <c r="T78" s="125"/>
      <c r="U78" s="125"/>
      <c r="V78" s="125"/>
      <c r="W78" s="125"/>
      <c r="X78" s="125"/>
      <c r="Y78" s="125"/>
      <c r="Z78" s="125"/>
      <c r="AA78" s="125"/>
      <c r="AB78" s="125"/>
      <c r="AC78" s="125"/>
      <c r="AD78" s="125"/>
      <c r="AE78" s="125"/>
      <c r="AF78" s="125"/>
      <c r="AG78" s="125"/>
      <c r="AH78" s="125"/>
      <c r="AI78" s="125"/>
      <c r="AJ78" s="125"/>
      <c r="AK78" s="125"/>
      <c r="AL78" s="125"/>
      <c r="AM78" s="125"/>
      <c r="AN78" s="125"/>
      <c r="AO78" s="125"/>
      <c r="AP78" s="125"/>
      <c r="AQ78" s="125"/>
      <c r="AR78" s="125"/>
    </row>
    <row r="79" spans="1:44" x14ac:dyDescent="0.3">
      <c r="A79" s="125"/>
      <c r="B79" s="126" t="s">
        <v>78</v>
      </c>
      <c r="C79" s="126">
        <f t="shared" si="7"/>
        <v>0.53428892683640627</v>
      </c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  <c r="AB79" s="125"/>
      <c r="AC79" s="125"/>
      <c r="AD79" s="125"/>
      <c r="AE79" s="125"/>
      <c r="AF79" s="125"/>
      <c r="AG79" s="125"/>
      <c r="AH79" s="125"/>
      <c r="AI79" s="125"/>
      <c r="AJ79" s="125"/>
      <c r="AK79" s="125"/>
      <c r="AL79" s="125"/>
      <c r="AM79" s="125"/>
      <c r="AN79" s="125"/>
      <c r="AO79" s="125"/>
      <c r="AP79" s="125"/>
      <c r="AQ79" s="125"/>
      <c r="AR79" s="125"/>
    </row>
    <row r="80" spans="1:44" x14ac:dyDescent="0.3">
      <c r="A80" s="125"/>
      <c r="B80" s="126" t="s">
        <v>79</v>
      </c>
      <c r="C80" s="126">
        <f t="shared" si="7"/>
        <v>0.29556225694050053</v>
      </c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  <c r="AB80" s="125"/>
      <c r="AC80" s="125"/>
      <c r="AD80" s="125"/>
      <c r="AE80" s="125"/>
      <c r="AF80" s="125"/>
      <c r="AG80" s="125"/>
      <c r="AH80" s="125"/>
      <c r="AI80" s="125"/>
      <c r="AJ80" s="125"/>
      <c r="AK80" s="125"/>
      <c r="AL80" s="125"/>
      <c r="AM80" s="125"/>
      <c r="AN80" s="125"/>
      <c r="AO80" s="125"/>
      <c r="AP80" s="125"/>
      <c r="AQ80" s="125"/>
      <c r="AR80" s="125"/>
    </row>
    <row r="81" spans="1:44" x14ac:dyDescent="0.3">
      <c r="A81" s="125"/>
      <c r="B81" s="126" t="s">
        <v>80</v>
      </c>
      <c r="C81" s="126">
        <f t="shared" si="7"/>
        <v>0.7925175824204852</v>
      </c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  <c r="AB81" s="125"/>
      <c r="AC81" s="125"/>
      <c r="AD81" s="125"/>
      <c r="AE81" s="125"/>
      <c r="AF81" s="125"/>
      <c r="AG81" s="125"/>
      <c r="AH81" s="125"/>
      <c r="AI81" s="125"/>
      <c r="AJ81" s="125"/>
      <c r="AK81" s="125"/>
      <c r="AL81" s="125"/>
      <c r="AM81" s="125"/>
      <c r="AN81" s="125"/>
      <c r="AO81" s="125"/>
      <c r="AP81" s="125"/>
      <c r="AQ81" s="125"/>
      <c r="AR81" s="125"/>
    </row>
    <row r="82" spans="1:44" ht="18" x14ac:dyDescent="0.3">
      <c r="A82" s="130"/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  <c r="AB82" s="125"/>
      <c r="AC82" s="125"/>
      <c r="AD82" s="125"/>
      <c r="AE82" s="125"/>
      <c r="AF82" s="125"/>
      <c r="AG82" s="125"/>
      <c r="AH82" s="125"/>
      <c r="AI82" s="125"/>
      <c r="AJ82" s="125"/>
      <c r="AK82" s="125"/>
      <c r="AL82" s="125"/>
      <c r="AM82" s="125"/>
      <c r="AN82" s="125"/>
      <c r="AO82" s="125"/>
      <c r="AP82" s="125"/>
      <c r="AQ82" s="125"/>
      <c r="AR82" s="125"/>
    </row>
    <row r="84" spans="1:44" ht="18" x14ac:dyDescent="0.3">
      <c r="A84" s="130" t="s">
        <v>91</v>
      </c>
      <c r="B84" s="125"/>
      <c r="C84" s="125"/>
      <c r="D84" s="125"/>
      <c r="E84" s="125"/>
      <c r="F84" s="125"/>
      <c r="G84" s="125"/>
      <c r="H84" s="125"/>
      <c r="I84" s="125"/>
      <c r="J84" s="125"/>
    </row>
    <row r="85" spans="1:44" x14ac:dyDescent="0.3">
      <c r="A85" s="125"/>
      <c r="B85" s="125"/>
      <c r="C85" s="125"/>
      <c r="D85" s="125"/>
      <c r="E85" s="125"/>
      <c r="F85" s="125"/>
      <c r="G85" s="125"/>
      <c r="H85" s="125"/>
      <c r="I85" s="125"/>
      <c r="J85" s="125"/>
    </row>
    <row r="86" spans="1:44" x14ac:dyDescent="0.3">
      <c r="A86" s="125"/>
      <c r="B86" s="131" t="s">
        <v>92</v>
      </c>
      <c r="C86" s="125">
        <f>AVERAGE(C69:H74)</f>
        <v>0.1332431757420775</v>
      </c>
      <c r="D86" s="125"/>
      <c r="E86" s="125"/>
      <c r="F86" s="125"/>
      <c r="G86" s="125"/>
      <c r="H86" s="125"/>
      <c r="I86" s="125"/>
      <c r="J86" s="125"/>
    </row>
    <row r="87" spans="1:44" x14ac:dyDescent="0.3">
      <c r="A87" s="125"/>
      <c r="B87" s="125"/>
      <c r="C87" s="125"/>
      <c r="D87" s="125"/>
      <c r="E87" s="125"/>
      <c r="F87" s="125"/>
      <c r="G87" s="125"/>
      <c r="H87" s="125"/>
      <c r="I87" s="125"/>
      <c r="J87" s="125"/>
    </row>
    <row r="88" spans="1:44" x14ac:dyDescent="0.3">
      <c r="A88" s="125"/>
      <c r="B88" s="126" t="s">
        <v>54</v>
      </c>
      <c r="C88" s="126" t="s">
        <v>55</v>
      </c>
      <c r="D88" s="126" t="s">
        <v>13</v>
      </c>
      <c r="E88" s="126" t="s">
        <v>41</v>
      </c>
      <c r="F88" s="126" t="s">
        <v>19</v>
      </c>
      <c r="G88" s="126" t="s">
        <v>30</v>
      </c>
      <c r="H88" s="126" t="s">
        <v>6</v>
      </c>
      <c r="I88" s="125"/>
      <c r="J88" s="125"/>
    </row>
    <row r="89" spans="1:44" x14ac:dyDescent="0.3">
      <c r="A89" s="125"/>
      <c r="B89" s="126" t="s">
        <v>55</v>
      </c>
      <c r="C89" s="126">
        <f>IF(C69&gt;$C$86,C69,0)</f>
        <v>0</v>
      </c>
      <c r="D89" s="126">
        <f t="shared" ref="D89:H89" si="9">IF(D69&gt;$C$86,D69,0)</f>
        <v>0</v>
      </c>
      <c r="E89" s="126">
        <f t="shared" si="9"/>
        <v>0</v>
      </c>
      <c r="F89" s="126">
        <f t="shared" si="9"/>
        <v>0</v>
      </c>
      <c r="G89" s="126">
        <f t="shared" si="9"/>
        <v>0</v>
      </c>
      <c r="H89" s="126">
        <f t="shared" si="9"/>
        <v>0</v>
      </c>
      <c r="I89" s="125"/>
      <c r="J89" s="125"/>
      <c r="K89" s="1">
        <f>IF(SUM($C89:$H89)=0,0,C89/SUM($C89:$H89))</f>
        <v>0</v>
      </c>
      <c r="L89" s="1">
        <f t="shared" ref="L89:P89" si="10">IF(SUM($C89:$H89)=0,0,D89/SUM($C89:$H89))</f>
        <v>0</v>
      </c>
      <c r="M89" s="1">
        <f t="shared" si="10"/>
        <v>0</v>
      </c>
      <c r="N89" s="1">
        <f t="shared" si="10"/>
        <v>0</v>
      </c>
      <c r="O89" s="1">
        <f t="shared" si="10"/>
        <v>0</v>
      </c>
      <c r="P89" s="1">
        <f t="shared" si="10"/>
        <v>0</v>
      </c>
    </row>
    <row r="90" spans="1:44" x14ac:dyDescent="0.3">
      <c r="A90" s="125"/>
      <c r="B90" s="126" t="s">
        <v>13</v>
      </c>
      <c r="C90" s="126">
        <f t="shared" ref="C90:H90" si="11">IF(C70&gt;$C$86,C70,0)</f>
        <v>0.18765027429753522</v>
      </c>
      <c r="D90" s="126">
        <f t="shared" si="11"/>
        <v>0</v>
      </c>
      <c r="E90" s="126">
        <f t="shared" si="11"/>
        <v>0</v>
      </c>
      <c r="F90" s="126">
        <f t="shared" si="11"/>
        <v>0</v>
      </c>
      <c r="G90" s="126">
        <f t="shared" si="11"/>
        <v>0.95190906022575095</v>
      </c>
      <c r="H90" s="126">
        <f t="shared" si="11"/>
        <v>0</v>
      </c>
      <c r="I90" s="125"/>
      <c r="J90" s="125"/>
      <c r="K90" s="1">
        <f t="shared" ref="K90:K94" si="12">IF(SUM($C90:$H90)=0,0,C90/SUM($C90:$H90))</f>
        <v>0.1646691564121453</v>
      </c>
      <c r="L90" s="1">
        <f t="shared" ref="L90:L94" si="13">IF(SUM($C90:$H90)=0,0,D90/SUM($C90:$H90))</f>
        <v>0</v>
      </c>
      <c r="M90" s="1">
        <f t="shared" ref="M90:M94" si="14">IF(SUM($C90:$H90)=0,0,E90/SUM($C90:$H90))</f>
        <v>0</v>
      </c>
      <c r="N90" s="1">
        <f t="shared" ref="N90:N94" si="15">IF(SUM($C90:$H90)=0,0,F90/SUM($C90:$H90))</f>
        <v>0</v>
      </c>
      <c r="O90" s="1">
        <f t="shared" ref="O90:O94" si="16">IF(SUM($C90:$H90)=0,0,G90/SUM($C90:$H90))</f>
        <v>0.8353308435878547</v>
      </c>
      <c r="P90" s="1">
        <f t="shared" ref="P90:P94" si="17">IF(SUM($C90:$H90)=0,0,H90/SUM($C90:$H90))</f>
        <v>0</v>
      </c>
    </row>
    <row r="91" spans="1:44" ht="24.6" x14ac:dyDescent="0.3">
      <c r="A91" s="137" t="s">
        <v>93</v>
      </c>
      <c r="B91" s="126" t="s">
        <v>41</v>
      </c>
      <c r="C91" s="126">
        <f t="shared" ref="C91:H91" si="18">IF(C71&gt;$C$86,C71,0)</f>
        <v>0.18816774088764002</v>
      </c>
      <c r="D91" s="126">
        <f t="shared" si="18"/>
        <v>0</v>
      </c>
      <c r="E91" s="126">
        <f t="shared" si="18"/>
        <v>0</v>
      </c>
      <c r="F91" s="126">
        <f t="shared" si="18"/>
        <v>0</v>
      </c>
      <c r="G91" s="126">
        <f t="shared" si="18"/>
        <v>0.89753140277275767</v>
      </c>
      <c r="H91" s="126">
        <f t="shared" si="18"/>
        <v>0</v>
      </c>
      <c r="I91" s="125"/>
      <c r="J91" s="125"/>
      <c r="K91" s="1">
        <f t="shared" si="12"/>
        <v>0.1733148100801101</v>
      </c>
      <c r="L91" s="1">
        <f t="shared" si="13"/>
        <v>0</v>
      </c>
      <c r="M91" s="1">
        <f t="shared" si="14"/>
        <v>0</v>
      </c>
      <c r="N91" s="1">
        <f t="shared" si="15"/>
        <v>0</v>
      </c>
      <c r="O91" s="1">
        <f t="shared" si="16"/>
        <v>0.82668518991988982</v>
      </c>
      <c r="P91" s="1">
        <f t="shared" si="17"/>
        <v>0</v>
      </c>
    </row>
    <row r="92" spans="1:44" x14ac:dyDescent="0.3">
      <c r="A92" s="125"/>
      <c r="B92" s="126" t="s">
        <v>19</v>
      </c>
      <c r="C92" s="126">
        <f t="shared" ref="C92:H92" si="19">IF(C72&gt;$C$86,C72,0)</f>
        <v>0</v>
      </c>
      <c r="D92" s="126">
        <f t="shared" si="19"/>
        <v>0</v>
      </c>
      <c r="E92" s="126">
        <f t="shared" si="19"/>
        <v>0</v>
      </c>
      <c r="F92" s="126">
        <f t="shared" si="19"/>
        <v>0</v>
      </c>
      <c r="G92" s="126">
        <f t="shared" si="19"/>
        <v>0.20302077394443926</v>
      </c>
      <c r="H92" s="126">
        <f t="shared" si="19"/>
        <v>0</v>
      </c>
      <c r="I92" s="125"/>
      <c r="J92" s="125"/>
      <c r="K92" s="1">
        <f t="shared" si="12"/>
        <v>0</v>
      </c>
      <c r="L92" s="1">
        <f t="shared" si="13"/>
        <v>0</v>
      </c>
      <c r="M92" s="1">
        <f t="shared" si="14"/>
        <v>0</v>
      </c>
      <c r="N92" s="1">
        <f t="shared" si="15"/>
        <v>0</v>
      </c>
      <c r="O92" s="1">
        <f t="shared" si="16"/>
        <v>1</v>
      </c>
      <c r="P92" s="1">
        <f t="shared" si="17"/>
        <v>0</v>
      </c>
    </row>
    <row r="93" spans="1:44" x14ac:dyDescent="0.3">
      <c r="A93" s="125"/>
      <c r="B93" s="126" t="s">
        <v>30</v>
      </c>
      <c r="C93" s="126">
        <f t="shared" ref="C93:H93" si="20">IF(C73&gt;$C$86,C73,0)</f>
        <v>0</v>
      </c>
      <c r="D93" s="126">
        <f t="shared" si="20"/>
        <v>0</v>
      </c>
      <c r="E93" s="126">
        <f t="shared" si="20"/>
        <v>0</v>
      </c>
      <c r="F93" s="126">
        <f t="shared" si="20"/>
        <v>0</v>
      </c>
      <c r="G93" s="126">
        <f t="shared" si="20"/>
        <v>0</v>
      </c>
      <c r="H93" s="126">
        <f t="shared" si="20"/>
        <v>0</v>
      </c>
      <c r="I93" s="125"/>
      <c r="J93" s="125"/>
      <c r="K93" s="1">
        <f t="shared" si="12"/>
        <v>0</v>
      </c>
      <c r="L93" s="1">
        <f t="shared" si="13"/>
        <v>0</v>
      </c>
      <c r="M93" s="1">
        <f t="shared" si="14"/>
        <v>0</v>
      </c>
      <c r="N93" s="1">
        <f t="shared" si="15"/>
        <v>0</v>
      </c>
      <c r="O93" s="1">
        <f t="shared" si="16"/>
        <v>0</v>
      </c>
      <c r="P93" s="1">
        <f t="shared" si="17"/>
        <v>0</v>
      </c>
    </row>
    <row r="94" spans="1:44" x14ac:dyDescent="0.3">
      <c r="A94" s="125"/>
      <c r="B94" s="126" t="s">
        <v>6</v>
      </c>
      <c r="C94" s="126">
        <f t="shared" ref="C94:H94" si="21">IF(C74&gt;$C$86,C74,0)</f>
        <v>0.18118519844948383</v>
      </c>
      <c r="D94" s="126">
        <f t="shared" si="21"/>
        <v>0</v>
      </c>
      <c r="E94" s="126">
        <f t="shared" si="21"/>
        <v>0</v>
      </c>
      <c r="F94" s="126">
        <f t="shared" si="21"/>
        <v>0.16488278606576651</v>
      </c>
      <c r="G94" s="126">
        <f t="shared" si="21"/>
        <v>0.22395810327986673</v>
      </c>
      <c r="H94" s="126">
        <f t="shared" si="21"/>
        <v>0</v>
      </c>
      <c r="I94" s="125"/>
      <c r="J94" s="125"/>
      <c r="K94" s="1">
        <f t="shared" si="12"/>
        <v>0.31785422163802218</v>
      </c>
      <c r="L94" s="1">
        <f t="shared" si="13"/>
        <v>0</v>
      </c>
      <c r="M94" s="1">
        <f t="shared" si="14"/>
        <v>0</v>
      </c>
      <c r="N94" s="1">
        <f t="shared" si="15"/>
        <v>0.289254807097583</v>
      </c>
      <c r="O94" s="1">
        <f t="shared" si="16"/>
        <v>0.39289097126439476</v>
      </c>
      <c r="P94" s="1">
        <f t="shared" si="17"/>
        <v>0</v>
      </c>
    </row>
    <row r="95" spans="1:44" x14ac:dyDescent="0.3">
      <c r="A95" s="125"/>
      <c r="B95" s="125"/>
      <c r="C95" s="125"/>
      <c r="D95" s="125"/>
      <c r="E95" s="125"/>
      <c r="F95" s="125"/>
      <c r="G95" s="125"/>
      <c r="H95" s="125"/>
      <c r="I95" s="125"/>
      <c r="J95" s="125"/>
    </row>
    <row r="96" spans="1:44" x14ac:dyDescent="0.3">
      <c r="A96" s="125"/>
      <c r="B96" s="125"/>
      <c r="C96" s="125"/>
      <c r="D96" s="125"/>
      <c r="E96" s="125"/>
      <c r="F96" s="125"/>
      <c r="G96" s="125"/>
      <c r="H96" s="125"/>
      <c r="I96" s="125"/>
      <c r="J96" s="125"/>
    </row>
    <row r="97" spans="1:10" x14ac:dyDescent="0.3">
      <c r="A97" s="125"/>
      <c r="B97" s="125"/>
      <c r="C97" s="125"/>
      <c r="D97" s="125"/>
      <c r="E97" s="125"/>
      <c r="F97" s="125"/>
      <c r="G97" s="125"/>
      <c r="H97" s="125"/>
      <c r="I97" s="125"/>
      <c r="J97" s="125"/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AHP</vt:lpstr>
      <vt:lpstr>ANP</vt:lpstr>
      <vt:lpstr>DEMATEL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Eskandari</dc:creator>
  <cp:lastModifiedBy>Reza Eskandari</cp:lastModifiedBy>
  <dcterms:created xsi:type="dcterms:W3CDTF">2025-05-08T17:13:10Z</dcterms:created>
  <dcterms:modified xsi:type="dcterms:W3CDTF">2026-09-05T20:52:56Z</dcterms:modified>
</cp:coreProperties>
</file>
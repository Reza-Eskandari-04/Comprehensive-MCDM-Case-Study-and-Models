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E:\study\term6\DM\Git\"/>
    </mc:Choice>
  </mc:AlternateContent>
  <xr:revisionPtr revIDLastSave="0" documentId="13_ncr:1_{8781CD10-6EAA-4ED4-BD6F-9C78DD52714C}" xr6:coauthVersionLast="47" xr6:coauthVersionMax="47" xr10:uidLastSave="{00000000-0000-0000-0000-000000000000}"/>
  <bookViews>
    <workbookView xWindow="-108" yWindow="-108" windowWidth="23256" windowHeight="12456" xr2:uid="{B909B60F-2D65-46A4-ACA5-26F38DB887E0}"/>
  </bookViews>
  <sheets>
    <sheet name="Q1" sheetId="1" r:id="rId1"/>
    <sheet name="Q2" sheetId="2" r:id="rId2"/>
    <sheet name="Q3" sheetId="3" r:id="rId3"/>
    <sheet name="Q4" sheetId="4" r:id="rId4"/>
    <sheet name="Q5-1" sheetId="6" r:id="rId5"/>
    <sheet name="Q5-2" sheetId="8" r:id="rId6"/>
    <sheet name="Q6" sheetId="9" r:id="rId7"/>
  </sheets>
  <definedNames>
    <definedName name="PCM">'Q1'!$A$8:$E$12</definedName>
    <definedName name="solver_adj" localSheetId="2" hidden="1">'Q3'!$H$10:$K$10</definedName>
    <definedName name="solver_adj" localSheetId="3" hidden="1">'Q4'!$H$6:$L$6</definedName>
    <definedName name="solver_adj" localSheetId="4" hidden="1">'Q5-1'!$J$6:$J$9,'Q5-1'!$H$11:$K$14</definedName>
    <definedName name="solver_adj" localSheetId="5" hidden="1">'Q5-2'!$J$6:$J$9,'Q5-2'!$H$11:$K$14,'Q5-2'!$H$16</definedName>
    <definedName name="solver_cvg" localSheetId="2" hidden="1">0.0001</definedName>
    <definedName name="solver_cvg" localSheetId="3" hidden="1">0.0001</definedName>
    <definedName name="solver_cvg" localSheetId="4" hidden="1">0.0001</definedName>
    <definedName name="solver_cvg" localSheetId="5" hidden="1">0.0001</definedName>
    <definedName name="solver_drv" localSheetId="2" hidden="1">1</definedName>
    <definedName name="solver_drv" localSheetId="3" hidden="1">1</definedName>
    <definedName name="solver_drv" localSheetId="4" hidden="1">1</definedName>
    <definedName name="solver_drv" localSheetId="5" hidden="1">1</definedName>
    <definedName name="solver_eng" localSheetId="2" hidden="1">1</definedName>
    <definedName name="solver_eng" localSheetId="3" hidden="1">2</definedName>
    <definedName name="solver_eng" localSheetId="4" hidden="1">1</definedName>
    <definedName name="solver_eng" localSheetId="5" hidden="1">1</definedName>
    <definedName name="solver_est" localSheetId="2" hidden="1">1</definedName>
    <definedName name="solver_est" localSheetId="3" hidden="1">1</definedName>
    <definedName name="solver_est" localSheetId="4" hidden="1">1</definedName>
    <definedName name="solver_est" localSheetId="5" hidden="1">1</definedName>
    <definedName name="solver_itr" localSheetId="2" hidden="1">2147483647</definedName>
    <definedName name="solver_itr" localSheetId="3" hidden="1">2147483647</definedName>
    <definedName name="solver_itr" localSheetId="4" hidden="1">2147483647</definedName>
    <definedName name="solver_itr" localSheetId="5" hidden="1">2147483647</definedName>
    <definedName name="solver_lhs1" localSheetId="2" hidden="1">'Q3'!$J$13</definedName>
    <definedName name="solver_lhs1" localSheetId="3" hidden="1">'Q4'!$R$24</definedName>
    <definedName name="solver_lhs1" localSheetId="4" hidden="1">'Q5-1'!$I$16:$I$27</definedName>
    <definedName name="solver_lhs1" localSheetId="5" hidden="1">'Q5-2'!$I$18:$I$29</definedName>
    <definedName name="solver_lhs2" localSheetId="3" hidden="1">'Q4'!$R$25:$R$28</definedName>
    <definedName name="solver_lhs2" localSheetId="4" hidden="1">'Q5-1'!$I$28</definedName>
    <definedName name="solver_lhs2" localSheetId="5" hidden="1">'Q5-2'!$I$30</definedName>
    <definedName name="solver_lhs3" localSheetId="4" hidden="1">'Q5-1'!$I$29:$I$31</definedName>
    <definedName name="solver_lhs3" localSheetId="5" hidden="1">'Q5-2'!$I$34</definedName>
    <definedName name="solver_lhs4" localSheetId="4" hidden="1">'Q5-1'!$K$16:$K$27</definedName>
    <definedName name="solver_lhs4" localSheetId="5" hidden="1">'Q5-2'!$I$35:$I$40</definedName>
    <definedName name="solver_lhs5" localSheetId="4" hidden="1">'Q5-1'!$K$28:$K$33</definedName>
    <definedName name="solver_lhs5" localSheetId="5" hidden="1">'Q5-2'!$K$18:$K$29</definedName>
    <definedName name="solver_lhs6" localSheetId="5" hidden="1">'Q5-2'!$K$30:$K$35</definedName>
    <definedName name="solver_lhs7" localSheetId="5" hidden="1">'Q5-2'!$K$36</definedName>
    <definedName name="solver_lhs8" localSheetId="5" hidden="1">'Q5-2'!$K$36</definedName>
    <definedName name="solver_mip" localSheetId="2" hidden="1">2147483647</definedName>
    <definedName name="solver_mip" localSheetId="3" hidden="1">2147483647</definedName>
    <definedName name="solver_mip" localSheetId="4" hidden="1">2147483647</definedName>
    <definedName name="solver_mip" localSheetId="5" hidden="1">2147483647</definedName>
    <definedName name="solver_mni" localSheetId="2" hidden="1">30</definedName>
    <definedName name="solver_mni" localSheetId="3" hidden="1">30</definedName>
    <definedName name="solver_mni" localSheetId="4" hidden="1">30</definedName>
    <definedName name="solver_mni" localSheetId="5" hidden="1">30</definedName>
    <definedName name="solver_mrt" localSheetId="2" hidden="1">0.075</definedName>
    <definedName name="solver_mrt" localSheetId="3" hidden="1">0.075</definedName>
    <definedName name="solver_mrt" localSheetId="4" hidden="1">0.075</definedName>
    <definedName name="solver_mrt" localSheetId="5" hidden="1">0.075</definedName>
    <definedName name="solver_msl" localSheetId="2" hidden="1">2</definedName>
    <definedName name="solver_msl" localSheetId="3" hidden="1">2</definedName>
    <definedName name="solver_msl" localSheetId="4" hidden="1">2</definedName>
    <definedName name="solver_msl" localSheetId="5" hidden="1">2</definedName>
    <definedName name="solver_neg" localSheetId="2" hidden="1">1</definedName>
    <definedName name="solver_neg" localSheetId="3" hidden="1">1</definedName>
    <definedName name="solver_neg" localSheetId="4" hidden="1">1</definedName>
    <definedName name="solver_neg" localSheetId="5" hidden="1">1</definedName>
    <definedName name="solver_nod" localSheetId="2" hidden="1">2147483647</definedName>
    <definedName name="solver_nod" localSheetId="3" hidden="1">2147483647</definedName>
    <definedName name="solver_nod" localSheetId="4" hidden="1">2147483647</definedName>
    <definedName name="solver_nod" localSheetId="5" hidden="1">2147483647</definedName>
    <definedName name="solver_num" localSheetId="2" hidden="1">1</definedName>
    <definedName name="solver_num" localSheetId="3" hidden="1">2</definedName>
    <definedName name="solver_num" localSheetId="4" hidden="1">5</definedName>
    <definedName name="solver_num" localSheetId="5" hidden="1">7</definedName>
    <definedName name="solver_nwt" localSheetId="2" hidden="1">1</definedName>
    <definedName name="solver_nwt" localSheetId="3" hidden="1">1</definedName>
    <definedName name="solver_nwt" localSheetId="4" hidden="1">1</definedName>
    <definedName name="solver_nwt" localSheetId="5" hidden="1">1</definedName>
    <definedName name="solver_opt" localSheetId="2" hidden="1">'Q3'!$K$3</definedName>
    <definedName name="solver_opt" localSheetId="3" hidden="1">'Q4'!$R$21</definedName>
    <definedName name="solver_opt" localSheetId="4" hidden="1">'Q5-1'!$K$3</definedName>
    <definedName name="solver_opt" localSheetId="5" hidden="1">'Q5-2'!$K$3</definedName>
    <definedName name="solver_pre" localSheetId="2" hidden="1">0.000001</definedName>
    <definedName name="solver_pre" localSheetId="3" hidden="1">0.000001</definedName>
    <definedName name="solver_pre" localSheetId="4" hidden="1">0.000001</definedName>
    <definedName name="solver_pre" localSheetId="5" hidden="1">0.000001</definedName>
    <definedName name="solver_rbv" localSheetId="2" hidden="1">1</definedName>
    <definedName name="solver_rbv" localSheetId="3" hidden="1">1</definedName>
    <definedName name="solver_rbv" localSheetId="4" hidden="1">1</definedName>
    <definedName name="solver_rbv" localSheetId="5" hidden="1">1</definedName>
    <definedName name="solver_rel1" localSheetId="2" hidden="1">2</definedName>
    <definedName name="solver_rel1" localSheetId="3" hidden="1">2</definedName>
    <definedName name="solver_rel1" localSheetId="4" hidden="1">2</definedName>
    <definedName name="solver_rel1" localSheetId="5" hidden="1">2</definedName>
    <definedName name="solver_rel2" localSheetId="3" hidden="1">1</definedName>
    <definedName name="solver_rel2" localSheetId="4" hidden="1">2</definedName>
    <definedName name="solver_rel2" localSheetId="5" hidden="1">2</definedName>
    <definedName name="solver_rel3" localSheetId="4" hidden="1">3</definedName>
    <definedName name="solver_rel3" localSheetId="5" hidden="1">1</definedName>
    <definedName name="solver_rel4" localSheetId="4" hidden="1">3</definedName>
    <definedName name="solver_rel4" localSheetId="5" hidden="1">3</definedName>
    <definedName name="solver_rel5" localSheetId="4" hidden="1">3</definedName>
    <definedName name="solver_rel5" localSheetId="5" hidden="1">3</definedName>
    <definedName name="solver_rel6" localSheetId="5" hidden="1">3</definedName>
    <definedName name="solver_rel7" localSheetId="5" hidden="1">3</definedName>
    <definedName name="solver_rel8" localSheetId="5" hidden="1">3</definedName>
    <definedName name="solver_rhs1" localSheetId="2" hidden="1">1</definedName>
    <definedName name="solver_rhs1" localSheetId="3" hidden="1">1</definedName>
    <definedName name="solver_rhs1" localSheetId="4" hidden="1">0</definedName>
    <definedName name="solver_rhs1" localSheetId="5" hidden="1">0</definedName>
    <definedName name="solver_rhs2" localSheetId="3" hidden="1">0</definedName>
    <definedName name="solver_rhs2" localSheetId="4" hidden="1">0</definedName>
    <definedName name="solver_rhs2" localSheetId="5" hidden="1">0</definedName>
    <definedName name="solver_rhs3" localSheetId="4" hidden="1">0</definedName>
    <definedName name="solver_rhs3" localSheetId="5" hidden="1">'Q5-2'!$I$3</definedName>
    <definedName name="solver_rhs4" localSheetId="4" hidden="1">0</definedName>
    <definedName name="solver_rhs4" localSheetId="5" hidden="1">0</definedName>
    <definedName name="solver_rhs5" localSheetId="4" hidden="1">0</definedName>
    <definedName name="solver_rhs5" localSheetId="5" hidden="1">0</definedName>
    <definedName name="solver_rhs6" localSheetId="5" hidden="1">0</definedName>
    <definedName name="solver_rhs7" localSheetId="5" hidden="1">0</definedName>
    <definedName name="solver_rhs8" localSheetId="5" hidden="1">0</definedName>
    <definedName name="solver_rlx" localSheetId="2" hidden="1">2</definedName>
    <definedName name="solver_rlx" localSheetId="3" hidden="1">2</definedName>
    <definedName name="solver_rlx" localSheetId="4" hidden="1">2</definedName>
    <definedName name="solver_rlx" localSheetId="5" hidden="1">2</definedName>
    <definedName name="solver_rsd" localSheetId="2" hidden="1">0</definedName>
    <definedName name="solver_rsd" localSheetId="3" hidden="1">0</definedName>
    <definedName name="solver_rsd" localSheetId="4" hidden="1">0</definedName>
    <definedName name="solver_rsd" localSheetId="5" hidden="1">0</definedName>
    <definedName name="solver_scl" localSheetId="2" hidden="1">1</definedName>
    <definedName name="solver_scl" localSheetId="3" hidden="1">1</definedName>
    <definedName name="solver_scl" localSheetId="4" hidden="1">1</definedName>
    <definedName name="solver_scl" localSheetId="5" hidden="1">1</definedName>
    <definedName name="solver_sho" localSheetId="2" hidden="1">2</definedName>
    <definedName name="solver_sho" localSheetId="3" hidden="1">2</definedName>
    <definedName name="solver_sho" localSheetId="4" hidden="1">2</definedName>
    <definedName name="solver_sho" localSheetId="5" hidden="1">2</definedName>
    <definedName name="solver_ssz" localSheetId="2" hidden="1">100</definedName>
    <definedName name="solver_ssz" localSheetId="3" hidden="1">100</definedName>
    <definedName name="solver_ssz" localSheetId="4" hidden="1">100</definedName>
    <definedName name="solver_ssz" localSheetId="5" hidden="1">100</definedName>
    <definedName name="solver_tim" localSheetId="2" hidden="1">2147483647</definedName>
    <definedName name="solver_tim" localSheetId="3" hidden="1">2147483647</definedName>
    <definedName name="solver_tim" localSheetId="4" hidden="1">2147483647</definedName>
    <definedName name="solver_tim" localSheetId="5" hidden="1">2147483647</definedName>
    <definedName name="solver_tol" localSheetId="2" hidden="1">0.01</definedName>
    <definedName name="solver_tol" localSheetId="3" hidden="1">0.01</definedName>
    <definedName name="solver_tol" localSheetId="4" hidden="1">0.01</definedName>
    <definedName name="solver_tol" localSheetId="5" hidden="1">0.01</definedName>
    <definedName name="solver_typ" localSheetId="2" hidden="1">2</definedName>
    <definedName name="solver_typ" localSheetId="3" hidden="1">1</definedName>
    <definedName name="solver_typ" localSheetId="4" hidden="1">2</definedName>
    <definedName name="solver_typ" localSheetId="5" hidden="1">2</definedName>
    <definedName name="solver_val" localSheetId="2" hidden="1">0</definedName>
    <definedName name="solver_val" localSheetId="3" hidden="1">0</definedName>
    <definedName name="solver_val" localSheetId="4" hidden="1">0</definedName>
    <definedName name="solver_val" localSheetId="5" hidden="1">0</definedName>
    <definedName name="solver_ver" localSheetId="2" hidden="1">3</definedName>
    <definedName name="solver_ver" localSheetId="3" hidden="1">3</definedName>
    <definedName name="solver_ver" localSheetId="4" hidden="1">3</definedName>
    <definedName name="solver_ver" localSheetId="5" hidden="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8" l="1"/>
  <c r="B1" i="8"/>
  <c r="B3" i="6"/>
  <c r="B1" i="6"/>
  <c r="B3" i="4"/>
  <c r="B1" i="4"/>
  <c r="B3" i="3"/>
  <c r="B1" i="3"/>
  <c r="B3" i="2"/>
  <c r="B1" i="2"/>
  <c r="B1" i="1"/>
  <c r="B3" i="1"/>
  <c r="J5" i="9" a="1"/>
  <c r="J5" i="9" s="1"/>
  <c r="G5" i="9" a="1"/>
  <c r="G5" i="9" s="1"/>
  <c r="I40" i="8"/>
  <c r="I39" i="8"/>
  <c r="I38" i="8"/>
  <c r="I37" i="8"/>
  <c r="K36" i="8"/>
  <c r="I36" i="8"/>
  <c r="K35" i="8"/>
  <c r="I35" i="8"/>
  <c r="K34" i="8"/>
  <c r="I34" i="8"/>
  <c r="K33" i="8"/>
  <c r="I33" i="8"/>
  <c r="K32" i="8"/>
  <c r="I32" i="8"/>
  <c r="K31" i="8"/>
  <c r="I31" i="8"/>
  <c r="K30" i="8"/>
  <c r="I30" i="8"/>
  <c r="K29" i="8"/>
  <c r="K28" i="8"/>
  <c r="K27" i="8"/>
  <c r="K26" i="8"/>
  <c r="K25" i="8"/>
  <c r="K24" i="8"/>
  <c r="K23" i="8"/>
  <c r="K22" i="8"/>
  <c r="K21" i="8"/>
  <c r="K20" i="8"/>
  <c r="K19" i="8"/>
  <c r="K18" i="8"/>
  <c r="K9" i="8"/>
  <c r="K8" i="8"/>
  <c r="K7" i="8"/>
  <c r="K6" i="8"/>
  <c r="K3" i="8"/>
  <c r="K7" i="6" l="1"/>
  <c r="K8" i="6"/>
  <c r="K9" i="6"/>
  <c r="K6" i="6"/>
  <c r="I5" i="9" s="1" a="1"/>
  <c r="I5" i="9" s="1"/>
  <c r="I31" i="6"/>
  <c r="I30" i="6"/>
  <c r="I29" i="6"/>
  <c r="I28" i="6"/>
  <c r="L15" i="4"/>
  <c r="L16" i="4"/>
  <c r="L17" i="4"/>
  <c r="L14" i="4"/>
  <c r="L13" i="4"/>
  <c r="L10" i="4"/>
  <c r="R10" i="4"/>
  <c r="R15" i="4"/>
  <c r="R25" i="4"/>
  <c r="R24" i="4"/>
  <c r="R14" i="4"/>
  <c r="R13" i="4"/>
  <c r="L25" i="4"/>
  <c r="L24" i="4"/>
  <c r="L27" i="4" l="1"/>
  <c r="R17" i="4"/>
  <c r="R28" i="4"/>
  <c r="R21" i="4"/>
  <c r="U12" i="4" s="1"/>
  <c r="R16" i="4"/>
  <c r="L28" i="4"/>
  <c r="L26" i="4"/>
  <c r="L21" i="4"/>
  <c r="R27" i="4"/>
  <c r="R26" i="4"/>
  <c r="J13" i="3"/>
  <c r="E11" i="1"/>
  <c r="E10" i="1"/>
  <c r="B12" i="1"/>
  <c r="U11" i="4" l="1"/>
  <c r="U10" i="4"/>
  <c r="U9" i="4"/>
  <c r="H5" i="9" s="1" a="1"/>
  <c r="H5" i="9" s="1"/>
  <c r="C12" i="1"/>
  <c r="K17" i="2"/>
  <c r="K20" i="2"/>
  <c r="K18" i="2"/>
  <c r="D12" i="1"/>
  <c r="K19" i="2"/>
  <c r="C9" i="1"/>
  <c r="D9" i="1"/>
  <c r="D10" i="1"/>
  <c r="C11" i="1" l="1"/>
  <c r="I19" i="2" s="1"/>
  <c r="J18" i="2"/>
  <c r="B11" i="1"/>
  <c r="J19" i="2"/>
  <c r="J17" i="2"/>
  <c r="J20" i="2"/>
  <c r="I26" i="2"/>
  <c r="B10" i="1"/>
  <c r="A8" i="6" s="1" a="1"/>
  <c r="A8" i="8" l="1" a="1"/>
  <c r="A8" i="6"/>
  <c r="K3" i="6"/>
  <c r="I7" i="2"/>
  <c r="A8" i="2" a="1"/>
  <c r="A8" i="2" s="1"/>
  <c r="I11" i="2"/>
  <c r="A8" i="3" a="1"/>
  <c r="H17" i="2"/>
  <c r="I10" i="2"/>
  <c r="D5" i="9" s="1" a="1"/>
  <c r="D5" i="9" s="1"/>
  <c r="I24" i="2"/>
  <c r="I5" i="2"/>
  <c r="H18" i="2"/>
  <c r="H20" i="2"/>
  <c r="I13" i="2"/>
  <c r="I4" i="2"/>
  <c r="I12" i="2"/>
  <c r="I23" i="2"/>
  <c r="F5" i="9" s="1" a="1"/>
  <c r="F5" i="9" s="1"/>
  <c r="I18" i="2"/>
  <c r="I17" i="2"/>
  <c r="I6" i="1" a="1"/>
  <c r="L8" i="1" s="1"/>
  <c r="I25" i="2"/>
  <c r="I6" i="2"/>
  <c r="H19" i="2"/>
  <c r="M19" i="2" s="1"/>
  <c r="I11" i="1" a="1"/>
  <c r="I11" i="1" s="1"/>
  <c r="I20" i="2"/>
  <c r="C5" i="9" l="1" a="1"/>
  <c r="C5" i="9" s="1"/>
  <c r="A8" i="8"/>
  <c r="K32" i="6"/>
  <c r="K20" i="6"/>
  <c r="K26" i="6"/>
  <c r="K25" i="6"/>
  <c r="K31" i="6"/>
  <c r="K19" i="6"/>
  <c r="K21" i="6"/>
  <c r="K27" i="6"/>
  <c r="K33" i="6"/>
  <c r="K28" i="6"/>
  <c r="K16" i="6"/>
  <c r="K22" i="6"/>
  <c r="K29" i="6"/>
  <c r="K17" i="6"/>
  <c r="K23" i="6"/>
  <c r="K30" i="6"/>
  <c r="K18" i="6"/>
  <c r="K24" i="6"/>
  <c r="K13" i="1"/>
  <c r="J11" i="1"/>
  <c r="I13" i="1"/>
  <c r="J12" i="1"/>
  <c r="L14" i="1"/>
  <c r="J13" i="1"/>
  <c r="K12" i="1"/>
  <c r="K14" i="1"/>
  <c r="J14" i="1"/>
  <c r="L12" i="1"/>
  <c r="L9" i="1"/>
  <c r="J8" i="1"/>
  <c r="I9" i="1"/>
  <c r="I12" i="1"/>
  <c r="L13" i="1"/>
  <c r="K7" i="1"/>
  <c r="Q4" i="2" a="1"/>
  <c r="Q4" i="2" s="1"/>
  <c r="A8" i="3"/>
  <c r="K3" i="3" a="1"/>
  <c r="M18" i="2"/>
  <c r="M20" i="2"/>
  <c r="I8" i="1"/>
  <c r="K9" i="1"/>
  <c r="J7" i="1"/>
  <c r="L7" i="1"/>
  <c r="K11" i="1"/>
  <c r="I14" i="1"/>
  <c r="K6" i="1"/>
  <c r="I7" i="1"/>
  <c r="L11" i="1"/>
  <c r="K8" i="1"/>
  <c r="I6" i="1"/>
  <c r="J6" i="1"/>
  <c r="L6" i="1"/>
  <c r="T4" i="2" a="1"/>
  <c r="T4" i="2" s="1"/>
  <c r="R4" i="2" a="1"/>
  <c r="R4" i="2" s="1"/>
  <c r="J9" i="1"/>
  <c r="M17" i="2"/>
  <c r="E5" i="9" s="1" a="1"/>
  <c r="E5" i="9" s="1"/>
  <c r="O7" i="1" l="1"/>
  <c r="O14" i="1"/>
  <c r="O11" i="1"/>
  <c r="O13" i="1"/>
  <c r="O6" i="1"/>
  <c r="S4" i="2" a="1"/>
  <c r="S4" i="2" s="1"/>
  <c r="O8" i="1"/>
  <c r="O9" i="1"/>
  <c r="O12" i="1"/>
  <c r="I16" i="1" a="1"/>
  <c r="K19" i="1" s="1"/>
  <c r="L19" i="1" l="1"/>
  <c r="L17" i="1"/>
  <c r="L18" i="1"/>
  <c r="K17" i="1"/>
  <c r="J16" i="1"/>
  <c r="K18" i="1"/>
  <c r="I18" i="1"/>
  <c r="I17" i="1"/>
  <c r="J19" i="1"/>
  <c r="I16" i="1"/>
  <c r="K16" i="1"/>
  <c r="J18" i="1"/>
  <c r="J17" i="1"/>
  <c r="L16" i="1"/>
  <c r="I19" i="1"/>
  <c r="O19" i="1" l="1"/>
  <c r="O17" i="1"/>
  <c r="O18" i="1"/>
  <c r="I21" i="1" a="1"/>
  <c r="K24" i="1" s="1"/>
  <c r="O16" i="1"/>
  <c r="L21" i="1" l="1"/>
  <c r="L23" i="1"/>
  <c r="I21" i="1"/>
  <c r="K22" i="1"/>
  <c r="I24" i="1"/>
  <c r="J24" i="1"/>
  <c r="J22" i="1"/>
  <c r="L24" i="1"/>
  <c r="L22" i="1"/>
  <c r="K23" i="1"/>
  <c r="J21" i="1"/>
  <c r="I23" i="1"/>
  <c r="K21" i="1"/>
  <c r="I22" i="1"/>
  <c r="J23" i="1"/>
  <c r="O24" i="1" l="1"/>
  <c r="O22" i="1"/>
  <c r="O23" i="1"/>
  <c r="O21" i="1"/>
  <c r="I26" i="1" a="1"/>
  <c r="K27" i="1" s="1"/>
  <c r="L29" i="1" l="1"/>
  <c r="K29" i="1"/>
  <c r="L27" i="1"/>
  <c r="J27" i="1"/>
  <c r="J28" i="1"/>
  <c r="J26" i="1"/>
  <c r="K28" i="1"/>
  <c r="J29" i="1"/>
  <c r="I26" i="1"/>
  <c r="L26" i="1"/>
  <c r="L28" i="1"/>
  <c r="I29" i="1"/>
  <c r="I27" i="1"/>
  <c r="K26" i="1"/>
  <c r="I28" i="1"/>
  <c r="I31" i="1" l="1" a="1"/>
  <c r="I34" i="1" s="1"/>
  <c r="O28" i="1"/>
  <c r="O27" i="1"/>
  <c r="O29" i="1"/>
  <c r="O26" i="1"/>
  <c r="I33" i="1" l="1"/>
  <c r="K34" i="1"/>
  <c r="L31" i="1"/>
  <c r="J33" i="1"/>
  <c r="L32" i="1"/>
  <c r="L34" i="1"/>
  <c r="J32" i="1"/>
  <c r="J31" i="1"/>
  <c r="J34" i="1"/>
  <c r="K31" i="1"/>
  <c r="K33" i="1"/>
  <c r="K32" i="1"/>
  <c r="I32" i="1"/>
  <c r="O32" i="1" s="1"/>
  <c r="I31" i="1"/>
  <c r="L33" i="1"/>
  <c r="I36" i="1" l="1" a="1"/>
  <c r="L39" i="1" s="1"/>
  <c r="O34" i="1"/>
  <c r="O33" i="1"/>
  <c r="O31" i="1"/>
  <c r="K38" i="1" l="1"/>
  <c r="K36" i="1"/>
  <c r="I36" i="1"/>
  <c r="K39" i="1"/>
  <c r="L36" i="1"/>
  <c r="L38" i="1"/>
  <c r="I39" i="1"/>
  <c r="I38" i="1"/>
  <c r="J37" i="1"/>
  <c r="J38" i="1"/>
  <c r="I37" i="1"/>
  <c r="L37" i="1"/>
  <c r="J39" i="1"/>
  <c r="J36" i="1"/>
  <c r="K37" i="1"/>
  <c r="O37" i="1" l="1"/>
  <c r="O38" i="1"/>
  <c r="O39" i="1"/>
  <c r="O36" i="1"/>
  <c r="I41" i="1" a="1"/>
  <c r="K41" i="1" s="1"/>
  <c r="K42" i="1" l="1"/>
  <c r="K43" i="1"/>
  <c r="J42" i="1"/>
  <c r="L41" i="1"/>
  <c r="L42" i="1"/>
  <c r="J44" i="1"/>
  <c r="I41" i="1"/>
  <c r="I44" i="1"/>
  <c r="K44" i="1"/>
  <c r="I42" i="1"/>
  <c r="L43" i="1"/>
  <c r="J43" i="1"/>
  <c r="L44" i="1"/>
  <c r="I43" i="1"/>
  <c r="J41" i="1"/>
  <c r="O42" i="1" l="1"/>
  <c r="O44" i="1"/>
  <c r="I46" i="1" a="1"/>
  <c r="K48" i="1" s="1"/>
  <c r="O43" i="1"/>
  <c r="O41" i="1"/>
  <c r="L46" i="1" l="1"/>
  <c r="J49" i="1"/>
  <c r="J47" i="1"/>
  <c r="L47" i="1"/>
  <c r="J48" i="1"/>
  <c r="I49" i="1"/>
  <c r="K49" i="1"/>
  <c r="J46" i="1"/>
  <c r="I46" i="1"/>
  <c r="L48" i="1"/>
  <c r="K46" i="1"/>
  <c r="L49" i="1"/>
  <c r="K47" i="1"/>
  <c r="I47" i="1"/>
  <c r="I48" i="1"/>
  <c r="O47" i="1" l="1"/>
  <c r="I51" i="1" a="1"/>
  <c r="L54" i="1" s="1"/>
  <c r="O48" i="1"/>
  <c r="O49" i="1"/>
  <c r="O46" i="1"/>
  <c r="J53" i="1" l="1"/>
  <c r="I52" i="1"/>
  <c r="K53" i="1"/>
  <c r="K54" i="1"/>
  <c r="J51" i="1"/>
  <c r="J52" i="1"/>
  <c r="L53" i="1"/>
  <c r="I53" i="1"/>
  <c r="O53" i="1" s="1"/>
  <c r="I54" i="1"/>
  <c r="O54" i="1" s="1"/>
  <c r="J54" i="1"/>
  <c r="I51" i="1"/>
  <c r="O51" i="1" s="1"/>
  <c r="L52" i="1"/>
  <c r="K51" i="1"/>
  <c r="L51" i="1"/>
  <c r="K52" i="1"/>
  <c r="O52" i="1" l="1"/>
  <c r="R6" i="1" s="1" a="1"/>
  <c r="R6" i="1" s="1"/>
  <c r="S8" i="1" s="1"/>
  <c r="B5" i="9" a="1"/>
  <c r="B5" i="9" s="1"/>
  <c r="P4" i="2" a="1"/>
  <c r="P4" i="2" l="1"/>
  <c r="Q11" i="2" s="1"/>
  <c r="P11" i="2"/>
  <c r="S11" i="2"/>
  <c r="R11" i="2"/>
  <c r="S12" i="1"/>
  <c r="S14" i="1" s="1"/>
  <c r="S16" i="1" s="1"/>
  <c r="J8" i="9" l="1"/>
  <c r="J7" i="9"/>
  <c r="J6" i="9"/>
  <c r="I8" i="9"/>
  <c r="I7" i="9"/>
  <c r="I6" i="9"/>
  <c r="H8" i="9"/>
  <c r="H7" i="9"/>
  <c r="H6" i="9"/>
  <c r="G8" i="9"/>
  <c r="G7" i="9"/>
  <c r="G6" i="9"/>
  <c r="F8" i="9"/>
  <c r="F7" i="9"/>
  <c r="F6" i="9"/>
  <c r="E8" i="9"/>
  <c r="E7" i="9"/>
  <c r="E6" i="9"/>
  <c r="D8" i="9"/>
  <c r="D7" i="9"/>
  <c r="D6" i="9"/>
  <c r="C8" i="9"/>
  <c r="C7" i="9"/>
  <c r="C6" i="9"/>
  <c r="B8" i="9"/>
  <c r="B7" i="9"/>
  <c r="B6" i="9"/>
  <c r="E12" i="8"/>
  <c r="D12" i="8"/>
  <c r="I29" i="8" s="1"/>
  <c r="C12" i="8"/>
  <c r="I28" i="8" s="1"/>
  <c r="B12" i="8"/>
  <c r="I27" i="8" s="1"/>
  <c r="A12" i="8"/>
  <c r="E11" i="8"/>
  <c r="I26" i="8" s="1"/>
  <c r="D11" i="8"/>
  <c r="C11" i="8"/>
  <c r="I25" i="8" s="1"/>
  <c r="B11" i="8"/>
  <c r="I24" i="8" s="1"/>
  <c r="A11" i="8"/>
  <c r="E10" i="8"/>
  <c r="I23" i="8" s="1"/>
  <c r="D10" i="8"/>
  <c r="I22" i="8" s="1"/>
  <c r="C10" i="8"/>
  <c r="B10" i="8"/>
  <c r="I21" i="8" s="1"/>
  <c r="A10" i="8"/>
  <c r="E9" i="8"/>
  <c r="I20" i="8" s="1"/>
  <c r="D9" i="8"/>
  <c r="I19" i="8" s="1"/>
  <c r="C9" i="8"/>
  <c r="I18" i="8" s="1"/>
  <c r="B9" i="8"/>
  <c r="A9" i="8"/>
  <c r="E8" i="8"/>
  <c r="D8" i="8"/>
  <c r="C8" i="8"/>
  <c r="B8" i="8"/>
  <c r="E12" i="6"/>
  <c r="D12" i="6"/>
  <c r="I27" i="6" s="1"/>
  <c r="C12" i="6"/>
  <c r="I26" i="6" s="1"/>
  <c r="B12" i="6"/>
  <c r="I25" i="6" s="1"/>
  <c r="A12" i="6"/>
  <c r="E11" i="6"/>
  <c r="I24" i="6" s="1"/>
  <c r="D11" i="6"/>
  <c r="C11" i="6"/>
  <c r="I23" i="6" s="1"/>
  <c r="B11" i="6"/>
  <c r="I22" i="6" s="1"/>
  <c r="A11" i="6"/>
  <c r="E10" i="6"/>
  <c r="I21" i="6" s="1"/>
  <c r="D10" i="6"/>
  <c r="I20" i="6" s="1"/>
  <c r="C10" i="6"/>
  <c r="B10" i="6"/>
  <c r="I19" i="6" s="1"/>
  <c r="A10" i="6"/>
  <c r="E9" i="6"/>
  <c r="I18" i="6" s="1"/>
  <c r="D9" i="6"/>
  <c r="I17" i="6" s="1"/>
  <c r="C9" i="6"/>
  <c r="I16" i="6" s="1"/>
  <c r="B9" i="6"/>
  <c r="A9" i="6"/>
  <c r="E8" i="6"/>
  <c r="D8" i="6"/>
  <c r="C8" i="6"/>
  <c r="B8" i="6"/>
  <c r="E12" i="3"/>
  <c r="D12" i="3"/>
  <c r="C12" i="3"/>
  <c r="B12" i="3"/>
  <c r="A12" i="3"/>
  <c r="E11" i="3"/>
  <c r="D11" i="3"/>
  <c r="C11" i="3"/>
  <c r="B11" i="3"/>
  <c r="A11" i="3"/>
  <c r="E10" i="3"/>
  <c r="D10" i="3"/>
  <c r="C10" i="3"/>
  <c r="B10" i="3"/>
  <c r="A10" i="3"/>
  <c r="E9" i="3"/>
  <c r="D9" i="3"/>
  <c r="C9" i="3"/>
  <c r="B9" i="3"/>
  <c r="A9" i="3"/>
  <c r="E8" i="3"/>
  <c r="D8" i="3"/>
  <c r="C8" i="3"/>
  <c r="B8" i="3"/>
  <c r="E12" i="2"/>
  <c r="D12" i="2"/>
  <c r="C12" i="2"/>
  <c r="B12" i="2"/>
  <c r="A12" i="2"/>
  <c r="E11" i="2"/>
  <c r="D11" i="2"/>
  <c r="C11" i="2"/>
  <c r="B11" i="2"/>
  <c r="A11" i="2"/>
  <c r="E10" i="2"/>
  <c r="D10" i="2"/>
  <c r="C10" i="2"/>
  <c r="B10" i="2"/>
  <c r="A10" i="2"/>
  <c r="E9" i="2"/>
  <c r="D9" i="2"/>
  <c r="C9" i="2"/>
  <c r="B9" i="2"/>
  <c r="A9" i="2"/>
  <c r="E8" i="2"/>
  <c r="D8" i="2"/>
  <c r="C8" i="2"/>
  <c r="B8" i="2"/>
  <c r="T7" i="2"/>
  <c r="T6" i="2"/>
  <c r="T5" i="2"/>
  <c r="S7" i="2"/>
  <c r="S6" i="2"/>
  <c r="S5" i="2"/>
  <c r="R7" i="2"/>
  <c r="R6" i="2"/>
  <c r="R5" i="2"/>
  <c r="Q7" i="2"/>
  <c r="Q6" i="2"/>
  <c r="Q5" i="2"/>
  <c r="P7" i="2"/>
  <c r="P6" i="2"/>
  <c r="P5" i="2"/>
  <c r="U6" i="1"/>
  <c r="S11" i="1" s="1"/>
  <c r="T6" i="1"/>
  <c r="S10" i="1" s="1"/>
  <c r="S6" i="1"/>
  <c r="S9" i="1" s="1"/>
  <c r="P12" i="2" l="1"/>
  <c r="S12" i="2"/>
  <c r="Q12" i="2"/>
  <c r="R12" i="2"/>
  <c r="Q13" i="2"/>
  <c r="P13" i="2"/>
  <c r="R13" i="2"/>
  <c r="S13" i="2"/>
  <c r="Q14" i="2"/>
  <c r="R14" i="2"/>
  <c r="P14" i="2"/>
  <c r="S14" i="2"/>
  <c r="K3" i="3"/>
  <c r="R15" i="2" l="1"/>
  <c r="Q15" i="2"/>
  <c r="S15" i="2"/>
  <c r="P15"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<sst xmlns="http://schemas.openxmlformats.org/spreadsheetml/2006/main" count="220" uniqueCount="97">
  <si>
    <t>X</t>
  </si>
  <si>
    <t>Y</t>
  </si>
  <si>
    <t>PCM</t>
  </si>
  <si>
    <t>معیار اول</t>
  </si>
  <si>
    <t>معیار دوم</t>
  </si>
  <si>
    <t>معیار سوم</t>
  </si>
  <si>
    <t>معیار چهارم</t>
  </si>
  <si>
    <r>
      <rPr>
        <sz val="12"/>
        <color theme="0"/>
        <rFont val="Times New Roman"/>
        <family val="1"/>
      </rPr>
      <t>A</t>
    </r>
    <r>
      <rPr>
        <vertAlign val="superscript"/>
        <sz val="12"/>
        <color theme="0"/>
        <rFont val="B Nazanin"/>
        <charset val="178"/>
      </rPr>
      <t>10</t>
    </r>
    <r>
      <rPr>
        <sz val="12"/>
        <color theme="1"/>
        <rFont val="Arial"/>
        <family val="2"/>
      </rPr>
      <t/>
    </r>
  </si>
  <si>
    <r>
      <rPr>
        <sz val="12"/>
        <color theme="0"/>
        <rFont val="Times New Roman"/>
        <family val="1"/>
      </rPr>
      <t>A</t>
    </r>
    <r>
      <rPr>
        <vertAlign val="superscript"/>
        <sz val="12"/>
        <color theme="0"/>
        <rFont val="Times New Roman"/>
        <family val="1"/>
      </rPr>
      <t>1</t>
    </r>
  </si>
  <si>
    <r>
      <rPr>
        <sz val="12"/>
        <color theme="0"/>
        <rFont val="Times New Roman"/>
        <family val="1"/>
      </rPr>
      <t>A</t>
    </r>
    <r>
      <rPr>
        <vertAlign val="superscript"/>
        <sz val="12"/>
        <color theme="0"/>
        <rFont val="Times New Roman"/>
        <family val="1"/>
      </rPr>
      <t>2</t>
    </r>
  </si>
  <si>
    <r>
      <t>A</t>
    </r>
    <r>
      <rPr>
        <vertAlign val="superscript"/>
        <sz val="12"/>
        <color theme="0"/>
        <rFont val="Times New Roman"/>
        <family val="1"/>
      </rPr>
      <t>3</t>
    </r>
  </si>
  <si>
    <r>
      <t>A</t>
    </r>
    <r>
      <rPr>
        <vertAlign val="superscript"/>
        <sz val="12"/>
        <color theme="0"/>
        <rFont val="Times New Roman"/>
        <family val="1"/>
      </rPr>
      <t>4</t>
    </r>
  </si>
  <si>
    <r>
      <t>A</t>
    </r>
    <r>
      <rPr>
        <vertAlign val="superscript"/>
        <sz val="12"/>
        <color theme="0"/>
        <rFont val="Times New Roman"/>
        <family val="1"/>
      </rPr>
      <t>5</t>
    </r>
  </si>
  <si>
    <r>
      <t>A</t>
    </r>
    <r>
      <rPr>
        <vertAlign val="superscript"/>
        <sz val="12"/>
        <color theme="0"/>
        <rFont val="Times New Roman"/>
        <family val="1"/>
      </rPr>
      <t>6</t>
    </r>
  </si>
  <si>
    <r>
      <t>A</t>
    </r>
    <r>
      <rPr>
        <vertAlign val="superscript"/>
        <sz val="12"/>
        <color theme="0"/>
        <rFont val="Times New Roman"/>
        <family val="1"/>
      </rPr>
      <t>7</t>
    </r>
  </si>
  <si>
    <r>
      <rPr>
        <sz val="12"/>
        <color theme="0"/>
        <rFont val="Times New Roman"/>
        <family val="1"/>
      </rPr>
      <t>A</t>
    </r>
    <r>
      <rPr>
        <vertAlign val="superscript"/>
        <sz val="12"/>
        <color theme="0"/>
        <rFont val="Times New Roman"/>
        <family val="1"/>
      </rPr>
      <t>8</t>
    </r>
  </si>
  <si>
    <r>
      <rPr>
        <sz val="12"/>
        <color theme="0"/>
        <rFont val="Times New Roman"/>
        <family val="1"/>
      </rPr>
      <t>A</t>
    </r>
    <r>
      <rPr>
        <vertAlign val="superscript"/>
        <sz val="12"/>
        <color theme="0"/>
        <rFont val="Times New Roman"/>
        <family val="1"/>
      </rPr>
      <t>9</t>
    </r>
  </si>
  <si>
    <r>
      <t>W</t>
    </r>
    <r>
      <rPr>
        <vertAlign val="superscript"/>
        <sz val="12"/>
        <color theme="0"/>
        <rFont val="Arial"/>
        <family val="2"/>
      </rPr>
      <t>t</t>
    </r>
  </si>
  <si>
    <t>C.I</t>
  </si>
  <si>
    <t>R.I</t>
  </si>
  <si>
    <t>C.R</t>
  </si>
  <si>
    <r>
      <t>w</t>
    </r>
    <r>
      <rPr>
        <vertAlign val="subscript"/>
        <sz val="12"/>
        <color theme="0"/>
        <rFont val="Times New Roman"/>
        <family val="1"/>
      </rPr>
      <t>1</t>
    </r>
  </si>
  <si>
    <r>
      <t>w</t>
    </r>
    <r>
      <rPr>
        <vertAlign val="subscript"/>
        <sz val="12"/>
        <color theme="0"/>
        <rFont val="Times New Roman"/>
        <family val="1"/>
      </rPr>
      <t>2</t>
    </r>
    <r>
      <rPr>
        <sz val="12"/>
        <color theme="1"/>
        <rFont val="Arial"/>
        <family val="2"/>
      </rPr>
      <t/>
    </r>
  </si>
  <si>
    <r>
      <t>w</t>
    </r>
    <r>
      <rPr>
        <vertAlign val="subscript"/>
        <sz val="12"/>
        <color theme="0"/>
        <rFont val="Times New Roman"/>
        <family val="1"/>
      </rPr>
      <t>3</t>
    </r>
    <r>
      <rPr>
        <sz val="12"/>
        <color theme="1"/>
        <rFont val="Arial"/>
        <family val="2"/>
      </rPr>
      <t/>
    </r>
  </si>
  <si>
    <r>
      <t>w</t>
    </r>
    <r>
      <rPr>
        <vertAlign val="subscript"/>
        <sz val="12"/>
        <color theme="0"/>
        <rFont val="Times New Roman"/>
        <family val="1"/>
      </rPr>
      <t>4</t>
    </r>
    <r>
      <rPr>
        <sz val="12"/>
        <color theme="1"/>
        <rFont val="Arial"/>
        <family val="2"/>
      </rPr>
      <t/>
    </r>
  </si>
  <si>
    <t>روش مجموع سطری</t>
  </si>
  <si>
    <t>روش مجموع ستونی</t>
  </si>
  <si>
    <t>روش میانگین هندسی</t>
  </si>
  <si>
    <t>روش میانگین حسابی</t>
  </si>
  <si>
    <t>ماتریس نرمال شده با روش نرم ساده</t>
  </si>
  <si>
    <t>روش بردار ویژه</t>
  </si>
  <si>
    <t>اختلاف با روش بردار ویژه</t>
  </si>
  <si>
    <t>مجموع خطا</t>
  </si>
  <si>
    <t>با در نظر گرفتن میزان خطا، روش میانگین حسابی نسبت به سایر روش‌ها به بردار ویژه نزدیک‌تر است، اما در بیشتر موارد، روش میانگین هندسی دقیق‌ترین تقریب را به روش بردار ویژه ارائه می‌دهد.</t>
  </si>
  <si>
    <t>تابع هدف</t>
  </si>
  <si>
    <t>متغیرها</t>
  </si>
  <si>
    <t>محدودیت ها</t>
  </si>
  <si>
    <r>
      <t xml:space="preserve">ماتریس </t>
    </r>
    <r>
      <rPr>
        <sz val="12"/>
        <color theme="0"/>
        <rFont val="Times New Roman"/>
        <family val="1"/>
      </rPr>
      <t>V</t>
    </r>
  </si>
  <si>
    <r>
      <t xml:space="preserve">ماتریس </t>
    </r>
    <r>
      <rPr>
        <sz val="12"/>
        <color theme="0"/>
        <rFont val="Times New Roman"/>
        <family val="1"/>
      </rPr>
      <t>U</t>
    </r>
  </si>
  <si>
    <r>
      <t>Max Z = w</t>
    </r>
    <r>
      <rPr>
        <vertAlign val="subscript"/>
        <sz val="12"/>
        <color theme="1"/>
        <rFont val="Times New Roman"/>
        <family val="1"/>
      </rPr>
      <t>1</t>
    </r>
  </si>
  <si>
    <r>
      <t>Max Z = w</t>
    </r>
    <r>
      <rPr>
        <vertAlign val="subscript"/>
        <sz val="12"/>
        <color theme="1"/>
        <rFont val="Times New Roman"/>
        <family val="1"/>
      </rPr>
      <t>2</t>
    </r>
    <r>
      <rPr>
        <sz val="12"/>
        <color theme="1"/>
        <rFont val="Arial"/>
        <family val="2"/>
      </rPr>
      <t/>
    </r>
  </si>
  <si>
    <r>
      <t>l</t>
    </r>
    <r>
      <rPr>
        <vertAlign val="superscript"/>
        <sz val="12"/>
        <color theme="0"/>
        <rFont val="Times New Roman"/>
        <family val="1"/>
      </rPr>
      <t>1</t>
    </r>
    <r>
      <rPr>
        <vertAlign val="subscript"/>
        <sz val="12"/>
        <color theme="0"/>
        <rFont val="Times New Roman"/>
        <family val="1"/>
      </rPr>
      <t>max</t>
    </r>
  </si>
  <si>
    <r>
      <t>l</t>
    </r>
    <r>
      <rPr>
        <vertAlign val="superscript"/>
        <sz val="12"/>
        <color theme="0"/>
        <rFont val="Times New Roman"/>
        <family val="1"/>
      </rPr>
      <t>2</t>
    </r>
    <r>
      <rPr>
        <vertAlign val="subscript"/>
        <sz val="12"/>
        <color theme="0"/>
        <rFont val="Times New Roman"/>
        <family val="1"/>
      </rPr>
      <t>max</t>
    </r>
  </si>
  <si>
    <r>
      <t>l</t>
    </r>
    <r>
      <rPr>
        <vertAlign val="superscript"/>
        <sz val="12"/>
        <color theme="0"/>
        <rFont val="Times New Roman"/>
        <family val="1"/>
      </rPr>
      <t>3</t>
    </r>
    <r>
      <rPr>
        <vertAlign val="subscript"/>
        <sz val="12"/>
        <color theme="0"/>
        <rFont val="Times New Roman"/>
        <family val="1"/>
      </rPr>
      <t>max</t>
    </r>
  </si>
  <si>
    <r>
      <t>l</t>
    </r>
    <r>
      <rPr>
        <vertAlign val="superscript"/>
        <sz val="12"/>
        <color theme="0"/>
        <rFont val="Times New Roman"/>
        <family val="1"/>
      </rPr>
      <t>4</t>
    </r>
    <r>
      <rPr>
        <vertAlign val="subscript"/>
        <sz val="12"/>
        <color theme="0"/>
        <rFont val="Times New Roman"/>
        <family val="1"/>
      </rPr>
      <t>max</t>
    </r>
  </si>
  <si>
    <r>
      <t>l</t>
    </r>
    <r>
      <rPr>
        <vertAlign val="subscript"/>
        <sz val="12"/>
        <color theme="0"/>
        <rFont val="Times New Roman"/>
        <family val="1"/>
      </rPr>
      <t>max</t>
    </r>
  </si>
  <si>
    <r>
      <t>∑w</t>
    </r>
    <r>
      <rPr>
        <vertAlign val="subscript"/>
        <sz val="12"/>
        <color theme="1"/>
        <rFont val="Times New Roman"/>
        <family val="1"/>
      </rPr>
      <t xml:space="preserve">i </t>
    </r>
    <r>
      <rPr>
        <sz val="12"/>
        <color theme="1"/>
        <rFont val="Times New Roman"/>
        <family val="1"/>
      </rPr>
      <t>= 1</t>
    </r>
  </si>
  <si>
    <r>
      <t>u</t>
    </r>
    <r>
      <rPr>
        <vertAlign val="subscript"/>
        <sz val="12"/>
        <color theme="1"/>
        <rFont val="Times New Roman"/>
        <family val="1"/>
      </rPr>
      <t>11</t>
    </r>
    <r>
      <rPr>
        <sz val="12"/>
        <color theme="1"/>
        <rFont val="Times New Roman"/>
        <family val="1"/>
      </rPr>
      <t xml:space="preserve"> = 1</t>
    </r>
  </si>
  <si>
    <r>
      <t>V</t>
    </r>
    <r>
      <rPr>
        <vertAlign val="subscript"/>
        <sz val="12"/>
        <color theme="1"/>
        <rFont val="Times New Roman"/>
        <family val="1"/>
      </rPr>
      <t>1</t>
    </r>
    <r>
      <rPr>
        <vertAlign val="superscript"/>
        <sz val="12"/>
        <color theme="1"/>
        <rFont val="Times New Roman"/>
        <family val="1"/>
      </rPr>
      <t xml:space="preserve">T </t>
    </r>
    <r>
      <rPr>
        <sz val="12"/>
        <color theme="1"/>
        <rFont val="Times New Roman"/>
        <family val="1"/>
      </rPr>
      <t>Y-u</t>
    </r>
    <r>
      <rPr>
        <vertAlign val="subscript"/>
        <sz val="12"/>
        <color theme="1"/>
        <rFont val="Times New Roman"/>
        <family val="1"/>
      </rPr>
      <t>11</t>
    </r>
    <r>
      <rPr>
        <sz val="12"/>
        <color theme="1"/>
        <rFont val="Times New Roman"/>
        <family val="1"/>
      </rPr>
      <t xml:space="preserve"> ≤ 0</t>
    </r>
  </si>
  <si>
    <r>
      <t>u</t>
    </r>
    <r>
      <rPr>
        <vertAlign val="subscript"/>
        <sz val="12"/>
        <color theme="1"/>
        <rFont val="Times New Roman"/>
        <family val="1"/>
      </rPr>
      <t>22</t>
    </r>
    <r>
      <rPr>
        <sz val="12"/>
        <color theme="1"/>
        <rFont val="Times New Roman"/>
        <family val="1"/>
      </rPr>
      <t xml:space="preserve"> = 1</t>
    </r>
  </si>
  <si>
    <r>
      <t>V</t>
    </r>
    <r>
      <rPr>
        <vertAlign val="subscript"/>
        <sz val="12"/>
        <color theme="1"/>
        <rFont val="Times New Roman"/>
        <family val="1"/>
      </rPr>
      <t>2</t>
    </r>
    <r>
      <rPr>
        <vertAlign val="superscript"/>
        <sz val="12"/>
        <color theme="1"/>
        <rFont val="Times New Roman"/>
        <family val="1"/>
      </rPr>
      <t xml:space="preserve">T </t>
    </r>
    <r>
      <rPr>
        <sz val="12"/>
        <color theme="1"/>
        <rFont val="Times New Roman"/>
        <family val="1"/>
      </rPr>
      <t>Y-u</t>
    </r>
    <r>
      <rPr>
        <vertAlign val="subscript"/>
        <sz val="12"/>
        <color theme="1"/>
        <rFont val="Times New Roman"/>
        <family val="1"/>
      </rPr>
      <t>22</t>
    </r>
    <r>
      <rPr>
        <sz val="12"/>
        <color theme="1"/>
        <rFont val="Times New Roman"/>
        <family val="1"/>
      </rPr>
      <t xml:space="preserve"> ≤ 0</t>
    </r>
  </si>
  <si>
    <r>
      <t>u</t>
    </r>
    <r>
      <rPr>
        <vertAlign val="subscript"/>
        <sz val="12"/>
        <color theme="1"/>
        <rFont val="Times New Roman"/>
        <family val="1"/>
      </rPr>
      <t>33</t>
    </r>
    <r>
      <rPr>
        <sz val="12"/>
        <color theme="1"/>
        <rFont val="Times New Roman"/>
        <family val="1"/>
      </rPr>
      <t xml:space="preserve"> = 1</t>
    </r>
  </si>
  <si>
    <r>
      <t>V</t>
    </r>
    <r>
      <rPr>
        <vertAlign val="subscript"/>
        <sz val="12"/>
        <color theme="1"/>
        <rFont val="Times New Roman"/>
        <family val="1"/>
      </rPr>
      <t>3</t>
    </r>
    <r>
      <rPr>
        <vertAlign val="superscript"/>
        <sz val="12"/>
        <color theme="1"/>
        <rFont val="Times New Roman"/>
        <family val="1"/>
      </rPr>
      <t xml:space="preserve">T </t>
    </r>
    <r>
      <rPr>
        <sz val="12"/>
        <color theme="1"/>
        <rFont val="Times New Roman"/>
        <family val="1"/>
      </rPr>
      <t>Y-u</t>
    </r>
    <r>
      <rPr>
        <vertAlign val="subscript"/>
        <sz val="12"/>
        <color theme="1"/>
        <rFont val="Times New Roman"/>
        <family val="1"/>
      </rPr>
      <t>33</t>
    </r>
    <r>
      <rPr>
        <sz val="12"/>
        <color theme="1"/>
        <rFont val="Times New Roman"/>
        <family val="1"/>
      </rPr>
      <t xml:space="preserve"> ≤ 0</t>
    </r>
  </si>
  <si>
    <r>
      <t>u</t>
    </r>
    <r>
      <rPr>
        <vertAlign val="subscript"/>
        <sz val="12"/>
        <color theme="1"/>
        <rFont val="Times New Roman"/>
        <family val="1"/>
      </rPr>
      <t>44</t>
    </r>
    <r>
      <rPr>
        <sz val="12"/>
        <color theme="1"/>
        <rFont val="Times New Roman"/>
        <family val="1"/>
      </rPr>
      <t xml:space="preserve"> = 1</t>
    </r>
  </si>
  <si>
    <r>
      <t>V</t>
    </r>
    <r>
      <rPr>
        <vertAlign val="subscript"/>
        <sz val="12"/>
        <color theme="1"/>
        <rFont val="Times New Roman"/>
        <family val="1"/>
      </rPr>
      <t>4</t>
    </r>
    <r>
      <rPr>
        <vertAlign val="superscript"/>
        <sz val="12"/>
        <color theme="1"/>
        <rFont val="Times New Roman"/>
        <family val="1"/>
      </rPr>
      <t xml:space="preserve">T </t>
    </r>
    <r>
      <rPr>
        <sz val="12"/>
        <color theme="1"/>
        <rFont val="Times New Roman"/>
        <family val="1"/>
      </rPr>
      <t>Y-u</t>
    </r>
    <r>
      <rPr>
        <vertAlign val="subscript"/>
        <sz val="12"/>
        <color theme="1"/>
        <rFont val="Times New Roman"/>
        <family val="1"/>
      </rPr>
      <t>44</t>
    </r>
    <r>
      <rPr>
        <sz val="12"/>
        <color theme="1"/>
        <rFont val="Times New Roman"/>
        <family val="1"/>
      </rPr>
      <t xml:space="preserve"> ≤ 0</t>
    </r>
  </si>
  <si>
    <r>
      <t>Max Z = w</t>
    </r>
    <r>
      <rPr>
        <vertAlign val="subscript"/>
        <sz val="12"/>
        <color theme="1"/>
        <rFont val="Times New Roman"/>
        <family val="1"/>
      </rPr>
      <t>3</t>
    </r>
  </si>
  <si>
    <r>
      <t>Max Z = w</t>
    </r>
    <r>
      <rPr>
        <vertAlign val="subscript"/>
        <sz val="12"/>
        <color theme="1"/>
        <rFont val="Times New Roman"/>
        <family val="1"/>
      </rPr>
      <t>4</t>
    </r>
  </si>
  <si>
    <t xml:space="preserve">Min ∑_(i=1)^4▒∑_(j=1)^4▒〖(u_ij.w_j-w_i)〗^2 </t>
  </si>
  <si>
    <t>مدل برای محاسبه وزن معیار اول</t>
  </si>
  <si>
    <t>مدل برای محاسبه وزن معیار دوم</t>
  </si>
  <si>
    <t>مدل برای محاسبه وزن معیار سوم</t>
  </si>
  <si>
    <t>مدل برای محاسبه وزن معیار چهارم</t>
  </si>
  <si>
    <r>
      <t>Min z = z</t>
    </r>
    <r>
      <rPr>
        <vertAlign val="subscript"/>
        <sz val="12"/>
        <color theme="1"/>
        <rFont val="Times New Roman"/>
        <family val="1"/>
      </rPr>
      <t>12</t>
    </r>
    <r>
      <rPr>
        <sz val="12"/>
        <color theme="1"/>
        <rFont val="Times New Roman"/>
        <family val="1"/>
      </rPr>
      <t>+z</t>
    </r>
    <r>
      <rPr>
        <vertAlign val="subscript"/>
        <sz val="12"/>
        <color theme="1"/>
        <rFont val="Times New Roman"/>
        <family val="1"/>
      </rPr>
      <t>13</t>
    </r>
    <r>
      <rPr>
        <sz val="12"/>
        <color theme="1"/>
        <rFont val="Times New Roman"/>
        <family val="1"/>
      </rPr>
      <t>+z</t>
    </r>
    <r>
      <rPr>
        <vertAlign val="subscript"/>
        <sz val="12"/>
        <color theme="1"/>
        <rFont val="Times New Roman"/>
        <family val="1"/>
      </rPr>
      <t>14</t>
    </r>
    <r>
      <rPr>
        <sz val="12"/>
        <color theme="1"/>
        <rFont val="Times New Roman"/>
        <family val="1"/>
      </rPr>
      <t>+z</t>
    </r>
    <r>
      <rPr>
        <vertAlign val="subscript"/>
        <sz val="12"/>
        <color theme="1"/>
        <rFont val="Times New Roman"/>
        <family val="1"/>
      </rPr>
      <t>23</t>
    </r>
    <r>
      <rPr>
        <sz val="12"/>
        <color theme="1"/>
        <rFont val="Times New Roman"/>
        <family val="1"/>
      </rPr>
      <t>+z</t>
    </r>
    <r>
      <rPr>
        <vertAlign val="subscript"/>
        <sz val="12"/>
        <color theme="1"/>
        <rFont val="Times New Roman"/>
        <family val="1"/>
      </rPr>
      <t>24</t>
    </r>
    <r>
      <rPr>
        <sz val="12"/>
        <color theme="1"/>
        <rFont val="Times New Roman"/>
        <family val="1"/>
      </rPr>
      <t>+z</t>
    </r>
    <r>
      <rPr>
        <vertAlign val="subscript"/>
        <sz val="12"/>
        <color theme="1"/>
        <rFont val="Times New Roman"/>
        <family val="1"/>
      </rPr>
      <t>34</t>
    </r>
  </si>
  <si>
    <t>W</t>
  </si>
  <si>
    <t>xi-xj ≥ 0</t>
  </si>
  <si>
    <r>
      <t>z</t>
    </r>
    <r>
      <rPr>
        <vertAlign val="subscript"/>
        <sz val="12"/>
        <color theme="1"/>
        <rFont val="Times New Roman"/>
        <family val="1"/>
      </rPr>
      <t>ij</t>
    </r>
    <r>
      <rPr>
        <sz val="12"/>
        <color theme="1"/>
        <rFont val="Times New Roman"/>
        <family val="1"/>
      </rPr>
      <t xml:space="preserve"> ≥ y</t>
    </r>
    <r>
      <rPr>
        <vertAlign val="subscript"/>
        <sz val="12"/>
        <color theme="1"/>
        <rFont val="Times New Roman"/>
        <family val="1"/>
      </rPr>
      <t>ij</t>
    </r>
  </si>
  <si>
    <r>
      <t>z</t>
    </r>
    <r>
      <rPr>
        <vertAlign val="subscript"/>
        <sz val="12"/>
        <color theme="1"/>
        <rFont val="Times New Roman"/>
        <family val="1"/>
      </rPr>
      <t>ij</t>
    </r>
    <r>
      <rPr>
        <sz val="12"/>
        <color theme="1"/>
        <rFont val="Times New Roman"/>
        <family val="1"/>
      </rPr>
      <t xml:space="preserve"> ≥ y</t>
    </r>
    <r>
      <rPr>
        <vertAlign val="subscript"/>
        <sz val="12"/>
        <color theme="1"/>
        <rFont val="Times New Roman"/>
        <family val="1"/>
      </rPr>
      <t>ji</t>
    </r>
  </si>
  <si>
    <r>
      <t>w</t>
    </r>
    <r>
      <rPr>
        <vertAlign val="subscript"/>
        <sz val="12"/>
        <color theme="1"/>
        <rFont val="Times New Roman"/>
        <family val="1"/>
      </rPr>
      <t>1</t>
    </r>
  </si>
  <si>
    <r>
      <t>w</t>
    </r>
    <r>
      <rPr>
        <vertAlign val="subscript"/>
        <sz val="12"/>
        <color theme="1"/>
        <rFont val="Times New Roman"/>
        <family val="1"/>
      </rPr>
      <t>2</t>
    </r>
    <r>
      <rPr>
        <sz val="12"/>
        <color theme="1"/>
        <rFont val="Arial"/>
        <family val="2"/>
      </rPr>
      <t/>
    </r>
  </si>
  <si>
    <r>
      <t>w</t>
    </r>
    <r>
      <rPr>
        <vertAlign val="subscript"/>
        <sz val="12"/>
        <color theme="1"/>
        <rFont val="Times New Roman"/>
        <family val="1"/>
      </rPr>
      <t>3</t>
    </r>
    <r>
      <rPr>
        <sz val="12"/>
        <color theme="1"/>
        <rFont val="Arial"/>
        <family val="2"/>
      </rPr>
      <t/>
    </r>
  </si>
  <si>
    <r>
      <t>w</t>
    </r>
    <r>
      <rPr>
        <vertAlign val="subscript"/>
        <sz val="12"/>
        <color theme="1"/>
        <rFont val="Times New Roman"/>
        <family val="1"/>
      </rPr>
      <t>4</t>
    </r>
    <r>
      <rPr>
        <sz val="12"/>
        <color theme="1"/>
        <rFont val="Arial"/>
        <family val="2"/>
      </rPr>
      <t/>
    </r>
  </si>
  <si>
    <t>ε</t>
  </si>
  <si>
    <r>
      <t>x</t>
    </r>
    <r>
      <rPr>
        <vertAlign val="subscript"/>
        <sz val="12"/>
        <color theme="1"/>
        <rFont val="Times New Roman"/>
        <family val="1"/>
      </rPr>
      <t>1</t>
    </r>
    <r>
      <rPr>
        <sz val="12"/>
        <color theme="1"/>
        <rFont val="Times New Roman"/>
        <family val="1"/>
      </rPr>
      <t xml:space="preserve"> = 0</t>
    </r>
  </si>
  <si>
    <r>
      <t>z</t>
    </r>
    <r>
      <rPr>
        <vertAlign val="subscript"/>
        <sz val="12"/>
        <color theme="1"/>
        <rFont val="Times New Roman"/>
        <family val="1"/>
      </rPr>
      <t>ij</t>
    </r>
    <r>
      <rPr>
        <sz val="12"/>
        <color theme="1"/>
        <rFont val="Times New Roman"/>
        <family val="1"/>
      </rPr>
      <t xml:space="preserve"> ≥ 0</t>
    </r>
  </si>
  <si>
    <r>
      <t>x</t>
    </r>
    <r>
      <rPr>
        <vertAlign val="subscript"/>
        <sz val="11"/>
        <color theme="1"/>
        <rFont val="Times New Roman"/>
        <family val="1"/>
      </rPr>
      <t>i</t>
    </r>
    <r>
      <rPr>
        <sz val="11"/>
        <color theme="1"/>
        <rFont val="Times New Roman"/>
        <family val="1"/>
      </rPr>
      <t>-x</t>
    </r>
    <r>
      <rPr>
        <vertAlign val="subscript"/>
        <sz val="11"/>
        <color theme="1"/>
        <rFont val="Times New Roman"/>
        <family val="1"/>
      </rPr>
      <t>j</t>
    </r>
    <r>
      <rPr>
        <sz val="11"/>
        <color theme="1"/>
        <rFont val="Times New Roman"/>
        <family val="1"/>
      </rPr>
      <t>-y</t>
    </r>
    <r>
      <rPr>
        <vertAlign val="subscript"/>
        <sz val="11"/>
        <color theme="1"/>
        <rFont val="Times New Roman"/>
        <family val="1"/>
      </rPr>
      <t>ij</t>
    </r>
    <r>
      <rPr>
        <sz val="11"/>
        <color theme="1"/>
        <rFont val="Times New Roman"/>
        <family val="1"/>
      </rPr>
      <t>=ln(a</t>
    </r>
    <r>
      <rPr>
        <vertAlign val="subscript"/>
        <sz val="11"/>
        <color theme="1"/>
        <rFont val="Times New Roman"/>
        <family val="1"/>
      </rPr>
      <t>ij</t>
    </r>
    <r>
      <rPr>
        <sz val="11"/>
        <color theme="1"/>
        <rFont val="Times New Roman"/>
        <family val="1"/>
      </rPr>
      <t>)</t>
    </r>
  </si>
  <si>
    <t>z*</t>
  </si>
  <si>
    <r>
      <t>Min Z</t>
    </r>
    <r>
      <rPr>
        <vertAlign val="subscript"/>
        <sz val="12"/>
        <color theme="1"/>
        <rFont val="Times New Roman"/>
        <family val="1"/>
      </rPr>
      <t>max</t>
    </r>
  </si>
  <si>
    <r>
      <t>Z</t>
    </r>
    <r>
      <rPr>
        <vertAlign val="subscript"/>
        <sz val="14"/>
        <color theme="0"/>
        <rFont val="Times New Roman"/>
        <family val="1"/>
      </rPr>
      <t>max</t>
    </r>
  </si>
  <si>
    <r>
      <t>z</t>
    </r>
    <r>
      <rPr>
        <vertAlign val="subscript"/>
        <sz val="12"/>
        <color theme="1"/>
        <rFont val="Arial"/>
        <family val="2"/>
      </rPr>
      <t>max</t>
    </r>
    <r>
      <rPr>
        <sz val="12"/>
        <color theme="1"/>
        <rFont val="Arial"/>
        <family val="2"/>
      </rPr>
      <t xml:space="preserve"> ≥ z</t>
    </r>
    <r>
      <rPr>
        <vertAlign val="subscript"/>
        <sz val="12"/>
        <color theme="1"/>
        <rFont val="Arial"/>
        <family val="2"/>
      </rPr>
      <t>ij</t>
    </r>
  </si>
  <si>
    <r>
      <t>z</t>
    </r>
    <r>
      <rPr>
        <vertAlign val="subscript"/>
        <sz val="12"/>
        <color theme="1"/>
        <rFont val="Arial"/>
        <family val="2"/>
      </rPr>
      <t>max</t>
    </r>
    <r>
      <rPr>
        <sz val="12"/>
        <color theme="1"/>
        <rFont val="Arial"/>
        <family val="2"/>
      </rPr>
      <t xml:space="preserve"> ≥ 0</t>
    </r>
  </si>
  <si>
    <t>روش وزن دهی</t>
  </si>
  <si>
    <t>مجموع سطری</t>
  </si>
  <si>
    <t>مجموع ستونی</t>
  </si>
  <si>
    <t>میانگین حسابی</t>
  </si>
  <si>
    <t>میانگین هندسی</t>
  </si>
  <si>
    <t>DEAHP</t>
  </si>
  <si>
    <t>وزن‌های نرمال شده</t>
  </si>
  <si>
    <r>
      <t>w</t>
    </r>
    <r>
      <rPr>
        <vertAlign val="subscript"/>
        <sz val="12"/>
        <color theme="1"/>
        <rFont val="Times New Roman"/>
        <family val="1"/>
      </rPr>
      <t>2</t>
    </r>
    <r>
      <rPr>
        <sz val="12"/>
        <color theme="1"/>
        <rFont val="Arial"/>
        <family val="2"/>
      </rPr>
      <t/>
    </r>
  </si>
  <si>
    <r>
      <t>w</t>
    </r>
    <r>
      <rPr>
        <vertAlign val="subscript"/>
        <sz val="12"/>
        <color theme="1"/>
        <rFont val="Times New Roman"/>
        <family val="1"/>
      </rPr>
      <t>3</t>
    </r>
    <r>
      <rPr>
        <sz val="12"/>
        <color theme="1"/>
        <rFont val="Arial"/>
        <family val="2"/>
      </rPr>
      <t/>
    </r>
  </si>
  <si>
    <r>
      <t>w</t>
    </r>
    <r>
      <rPr>
        <vertAlign val="subscript"/>
        <sz val="12"/>
        <color theme="1"/>
        <rFont val="Times New Roman"/>
        <family val="1"/>
      </rPr>
      <t>4</t>
    </r>
    <r>
      <rPr>
        <sz val="12"/>
        <color theme="1"/>
        <rFont val="Arial"/>
        <family val="2"/>
      </rPr>
      <t/>
    </r>
  </si>
  <si>
    <r>
      <t>w</t>
    </r>
    <r>
      <rPr>
        <vertAlign val="subscript"/>
        <sz val="12"/>
        <color theme="0"/>
        <rFont val="Times New Roman"/>
        <family val="1"/>
      </rPr>
      <t>2</t>
    </r>
    <r>
      <rPr>
        <sz val="12"/>
        <color theme="1"/>
        <rFont val="Arial"/>
        <family val="2"/>
      </rPr>
      <t/>
    </r>
  </si>
  <si>
    <r>
      <t>w</t>
    </r>
    <r>
      <rPr>
        <vertAlign val="subscript"/>
        <sz val="12"/>
        <color theme="0"/>
        <rFont val="Times New Roman"/>
        <family val="1"/>
      </rPr>
      <t>3</t>
    </r>
    <r>
      <rPr>
        <sz val="12"/>
        <color theme="1"/>
        <rFont val="Arial"/>
        <family val="2"/>
      </rPr>
      <t/>
    </r>
  </si>
  <si>
    <r>
      <t>w</t>
    </r>
    <r>
      <rPr>
        <vertAlign val="subscript"/>
        <sz val="12"/>
        <color theme="0"/>
        <rFont val="Times New Roman"/>
        <family val="1"/>
      </rPr>
      <t>4</t>
    </r>
    <r>
      <rPr>
        <sz val="12"/>
        <color theme="1"/>
        <rFont val="Arial"/>
        <family val="2"/>
      </rPr>
      <t/>
    </r>
  </si>
  <si>
    <r>
      <t>برنامه‌ریزی خطی (</t>
    </r>
    <r>
      <rPr>
        <sz val="12"/>
        <color theme="0"/>
        <rFont val="Times New Roman"/>
        <family val="1"/>
      </rPr>
      <t>LPM</t>
    </r>
    <r>
      <rPr>
        <sz val="12"/>
        <color theme="0"/>
        <rFont val="B Nazanin"/>
        <charset val="178"/>
      </rPr>
      <t>) مرحله اول</t>
    </r>
  </si>
  <si>
    <r>
      <t>برنامه‌ریزی خطی (</t>
    </r>
    <r>
      <rPr>
        <sz val="12"/>
        <color theme="0"/>
        <rFont val="Times New Roman"/>
        <family val="1"/>
      </rPr>
      <t>LPM</t>
    </r>
    <r>
      <rPr>
        <sz val="12"/>
        <color theme="0"/>
        <rFont val="B Nazanin"/>
        <charset val="178"/>
      </rPr>
      <t>) مرحله دوم</t>
    </r>
  </si>
  <si>
    <r>
      <t>کمترین مجذورات (</t>
    </r>
    <r>
      <rPr>
        <sz val="12"/>
        <color theme="0"/>
        <rFont val="Times New Roman"/>
        <family val="1"/>
      </rPr>
      <t>LSM</t>
    </r>
    <r>
      <rPr>
        <sz val="12"/>
        <color theme="0"/>
        <rFont val="B Nazanin"/>
        <charset val="178"/>
      </rPr>
      <t>)</t>
    </r>
  </si>
  <si>
    <t>بردار ویژه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</si>
</sst>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
    <numFmt numFmtId="165" formatCode="0.000"/>
    <numFmt numFmtId="166" formatCode="0.0"/>
    <numFmt numFmtId="167" formatCode="0.00000000"/>
    <numFmt numFmtId="168" formatCode="0.0000"/>
    <numFmt numFmtId="169" formatCode="0/###"/>
    <numFmt numFmtId="170" formatCode="###/###"/>
  </numFmts>
  <fonts count="24" x14ac:knownFonts="1">
    <font>
      <sz val="12"/>
      <color theme="1"/>
      <name val="Arial"/>
      <family val="2"/>
    </font>
    <font>
      <sz val="12"/>
      <color theme="0"/>
      <name val="Times New Roman"/>
      <family val="1"/>
    </font>
    <font>
      <sz val="12"/>
      <color theme="1"/>
      <name val="B Nazanin"/>
      <charset val="178"/>
    </font>
    <font>
      <sz val="12"/>
      <color theme="0"/>
      <name val="B Nazanin"/>
      <charset val="178"/>
    </font>
    <font>
      <vertAlign val="superscript"/>
      <sz val="12"/>
      <color theme="0"/>
      <name val="B Nazanin"/>
      <charset val="178"/>
    </font>
    <font>
      <sz val="8"/>
      <name val="Arial"/>
      <family val="2"/>
    </font>
    <font>
      <sz val="12"/>
      <color theme="0"/>
      <name val="B Nazanin"/>
      <family val="1"/>
      <charset val="178"/>
    </font>
    <font>
      <vertAlign val="superscript"/>
      <sz val="12"/>
      <color theme="0"/>
      <name val="Times New Roman"/>
      <family val="1"/>
    </font>
    <font>
      <vertAlign val="superscript"/>
      <sz val="12"/>
      <color theme="0"/>
      <name val="Arial"/>
      <family val="2"/>
    </font>
    <font>
      <vertAlign val="subscript"/>
      <sz val="12"/>
      <color theme="1"/>
      <name val="Times New Roman"/>
      <family val="1"/>
    </font>
    <font>
      <vertAlign val="superscript"/>
      <sz val="12"/>
      <color theme="1"/>
      <name val="Times New Roman"/>
      <family val="1"/>
    </font>
    <font>
      <vertAlign val="subscript"/>
      <sz val="12"/>
      <color theme="0"/>
      <name val="Times New Roman"/>
      <family val="1"/>
    </font>
    <font>
      <b/>
      <sz val="12"/>
      <color theme="0"/>
      <name val="B Nazanin"/>
      <charset val="178"/>
    </font>
    <font>
      <sz val="12"/>
      <color theme="1"/>
      <name val="Times New Roman"/>
      <family val="1"/>
    </font>
    <font>
      <sz val="12"/>
      <color theme="0"/>
      <name val="Symbol"/>
      <family val="1"/>
      <charset val="2"/>
    </font>
    <font>
      <b/>
      <sz val="12"/>
      <color theme="1"/>
      <name val="B Nazanin"/>
      <charset val="178"/>
    </font>
    <font>
      <sz val="16"/>
      <color theme="1"/>
      <name val="Cambria Math"/>
      <family val="1"/>
    </font>
    <font>
      <vertAlign val="subscript"/>
      <sz val="12"/>
      <color theme="1"/>
      <name val="Arial"/>
      <family val="2"/>
    </font>
    <font>
      <sz val="14"/>
      <color theme="0"/>
      <name val="Times New Roman"/>
      <family val="1"/>
    </font>
    <font>
      <sz val="11"/>
      <color theme="1"/>
      <name val="Times New Roman"/>
      <family val="1"/>
    </font>
    <font>
      <vertAlign val="subscript"/>
      <sz val="11"/>
      <color theme="1"/>
      <name val="Times New Roman"/>
      <family val="1"/>
    </font>
    <font>
      <vertAlign val="subscript"/>
      <sz val="14"/>
      <color theme="0"/>
      <name val="Times New Roman"/>
      <family val="1"/>
    </font>
    <font>
      <sz val="16"/>
      <color rgb="FFC3E6E1"/>
      <name val="B Titr"/>
      <charset val="178"/>
    </font>
    <font>
      <sz val="15.5"/>
      <color rgb="FFC3E6E1"/>
      <name val="B Titr"/>
      <charset val="178"/>
    </font>
  </fonts>
  <fills count="10">
    <fill>
      <patternFill patternType="none"/>
    </fill>
    <fill>
      <patternFill patternType="gray125"/>
    </fill>
    <fill>
      <patternFill patternType="solid">
        <fgColor rgb="FFCAF0F8"/>
        <bgColor indexed="64"/>
      </patternFill>
    </fill>
    <fill>
      <patternFill patternType="solid">
        <fgColor rgb="FF92D050"/>
        <bgColor indexed="64"/>
      </patternFill>
    </fill>
    <fill>
      <patternFill patternType="solid">
        <fgColor rgb="FF2A9D8F"/>
        <bgColor indexed="64"/>
      </patternFill>
    </fill>
    <fill>
      <patternFill patternType="solid">
        <fgColor rgb="FFC3E6E1"/>
        <bgColor indexed="64"/>
      </patternFill>
    </fill>
    <fill>
      <patternFill patternType="solid">
        <fgColor rgb="FF264653"/>
        <bgColor indexed="64"/>
      </patternFill>
    </fill>
    <fill>
      <patternFill patternType="solid">
        <fgColor rgb="FFA7C4BC"/>
        <bgColor indexed="64"/>
      </patternFill>
    </fill>
    <fill>
      <patternFill patternType="solid">
        <fgColor rgb="FF207A6F"/>
        <bgColor indexed="64"/>
      </patternFill>
    </fill>
    <fill>
      <patternFill patternType="solid">
        <fgColor theme="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129">
    <xf numFmtId="0" fontId="0" fillId="0" borderId="0" xfId="0"/>
    <xf numFmtId="164" fontId="2" fillId="3" borderId="1" xfId="0" applyNumberFormat="1" applyFont="1" applyFill="1" applyBorder="1" applyAlignment="1">
      <alignment horizontal="center" vertical="center"/>
    </xf>
    <xf numFmtId="0" fontId="0" fillId="0" borderId="0" xfId="0" applyAlignment="1">
      <alignment horizontal="center" vertical="center"/>
    </xf>
    <xf numFmtId="164" fontId="2" fillId="2" borderId="6" xfId="0" applyNumberFormat="1" applyFont="1" applyFill="1" applyBorder="1" applyAlignment="1">
      <alignment horizontal="center" vertical="center"/>
    </xf>
    <xf numFmtId="2" fontId="0" fillId="0" borderId="0" xfId="0" applyNumberFormat="1"/>
    <xf numFmtId="0" fontId="13" fillId="0" borderId="0" xfId="0" applyFon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3" xfId="0" applyBorder="1" applyAlignment="1">
      <alignment horizontal="center" vertical="center"/>
    </xf>
    <xf numFmtId="0" fontId="0" fillId="0" borderId="4" xfId="0" applyBorder="1" applyAlignment="1">
      <alignment horizontal="center" vertical="center"/>
    </xf>
    <xf numFmtId="0" fontId="0" fillId="0" borderId="12" xfId="0" applyBorder="1" applyAlignment="1">
      <alignment horizontal="center" vertical="center"/>
    </xf>
    <xf numFmtId="0" fontId="1" fillId="4" borderId="1" xfId="0" applyFont="1" applyFill="1" applyBorder="1" applyAlignment="1">
      <alignment horizontal="center" vertical="center"/>
    </xf>
    <xf numFmtId="2" fontId="2" fillId="5" borderId="1" xfId="0" applyNumberFormat="1" applyFont="1" applyFill="1" applyBorder="1" applyAlignment="1">
      <alignment horizontal="center" vertical="center"/>
    </xf>
    <xf numFmtId="164" fontId="2" fillId="5" borderId="1" xfId="0" applyNumberFormat="1" applyFont="1" applyFill="1" applyBorder="1" applyAlignment="1">
      <alignment horizontal="center" vertical="center"/>
    </xf>
    <xf numFmtId="2" fontId="2" fillId="5" borderId="6" xfId="0" applyNumberFormat="1" applyFont="1" applyFill="1" applyBorder="1" applyAlignment="1">
      <alignment horizontal="center" vertical="center"/>
    </xf>
    <xf numFmtId="167" fontId="2" fillId="5" borderId="1" xfId="0" applyNumberFormat="1" applyFont="1" applyFill="1" applyBorder="1" applyAlignment="1">
      <alignment horizontal="center" vertical="center"/>
    </xf>
    <xf numFmtId="165" fontId="2" fillId="5" borderId="1" xfId="0" applyNumberFormat="1" applyFont="1" applyFill="1" applyBorder="1" applyAlignment="1">
      <alignment horizontal="center" vertical="center"/>
    </xf>
    <xf numFmtId="166" fontId="2" fillId="5"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14" fillId="4" borderId="1" xfId="0" applyFont="1" applyFill="1" applyBorder="1" applyAlignment="1">
      <alignment horizontal="center" vertical="center"/>
    </xf>
    <xf numFmtId="0" fontId="0" fillId="7" borderId="0" xfId="0" applyFill="1" applyAlignment="1">
      <alignment horizontal="center" vertical="center"/>
    </xf>
    <xf numFmtId="0" fontId="0" fillId="7" borderId="5" xfId="0" applyFill="1" applyBorder="1" applyAlignment="1">
      <alignment horizontal="center" vertical="center"/>
    </xf>
    <xf numFmtId="0" fontId="0" fillId="7" borderId="14" xfId="0" applyFill="1" applyBorder="1" applyAlignment="1">
      <alignment horizontal="center" vertic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0" fillId="7" borderId="12" xfId="0" applyFill="1" applyBorder="1" applyAlignment="1">
      <alignment horizontal="center" vertical="center"/>
    </xf>
    <xf numFmtId="164" fontId="0" fillId="7" borderId="12" xfId="0" applyNumberFormat="1" applyFill="1" applyBorder="1" applyAlignment="1">
      <alignment horizontal="center" vertical="center"/>
    </xf>
    <xf numFmtId="0" fontId="0" fillId="7" borderId="15" xfId="0" applyFill="1" applyBorder="1" applyAlignment="1">
      <alignment horizontal="center" vertical="center"/>
    </xf>
    <xf numFmtId="0" fontId="0" fillId="7" borderId="16" xfId="0" applyFill="1" applyBorder="1" applyAlignment="1">
      <alignment horizontal="center" vertical="center"/>
    </xf>
    <xf numFmtId="0" fontId="0" fillId="0" borderId="4" xfId="0" applyBorder="1"/>
    <xf numFmtId="164" fontId="2" fillId="5" borderId="11" xfId="0" applyNumberFormat="1" applyFont="1" applyFill="1" applyBorder="1" applyAlignment="1">
      <alignment horizontal="center" vertical="center"/>
    </xf>
    <xf numFmtId="164" fontId="2" fillId="5" borderId="6" xfId="0" applyNumberFormat="1" applyFont="1" applyFill="1" applyBorder="1" applyAlignment="1">
      <alignment horizontal="center" vertical="center"/>
    </xf>
    <xf numFmtId="0" fontId="1" fillId="4" borderId="11" xfId="0" applyFont="1" applyFill="1" applyBorder="1" applyAlignment="1">
      <alignment horizontal="center" vertical="center"/>
    </xf>
    <xf numFmtId="0" fontId="3" fillId="4" borderId="6" xfId="0" applyFont="1" applyFill="1" applyBorder="1" applyAlignment="1">
      <alignment horizontal="center" vertical="center"/>
    </xf>
    <xf numFmtId="0" fontId="0" fillId="7" borderId="4" xfId="0" applyFill="1" applyBorder="1"/>
    <xf numFmtId="0" fontId="0" fillId="7" borderId="0" xfId="0" applyFill="1"/>
    <xf numFmtId="0" fontId="0" fillId="7" borderId="12" xfId="0" applyFill="1" applyBorder="1"/>
    <xf numFmtId="0" fontId="0" fillId="7" borderId="13" xfId="0" applyFill="1" applyBorder="1" applyAlignment="1">
      <alignment horizontal="center" vertical="center"/>
    </xf>
    <xf numFmtId="0" fontId="0" fillId="7" borderId="27" xfId="0" applyFill="1" applyBorder="1"/>
    <xf numFmtId="0" fontId="0" fillId="7" borderId="28" xfId="0" applyFill="1" applyBorder="1"/>
    <xf numFmtId="0" fontId="0" fillId="7" borderId="23" xfId="0" applyFill="1" applyBorder="1"/>
    <xf numFmtId="0" fontId="0" fillId="7" borderId="24" xfId="0" applyFill="1" applyBorder="1"/>
    <xf numFmtId="2" fontId="2" fillId="5" borderId="21" xfId="0" applyNumberFormat="1" applyFont="1" applyFill="1" applyBorder="1" applyAlignment="1">
      <alignment horizontal="center" vertical="center"/>
    </xf>
    <xf numFmtId="2" fontId="2" fillId="5" borderId="29" xfId="0" applyNumberFormat="1" applyFont="1" applyFill="1" applyBorder="1" applyAlignment="1">
      <alignment horizontal="center" vertical="center"/>
    </xf>
    <xf numFmtId="164" fontId="2" fillId="5" borderId="21" xfId="0" applyNumberFormat="1" applyFont="1" applyFill="1" applyBorder="1" applyAlignment="1">
      <alignment horizontal="center" vertical="center"/>
    </xf>
    <xf numFmtId="1" fontId="2" fillId="5" borderId="1" xfId="0" applyNumberFormat="1" applyFont="1" applyFill="1" applyBorder="1" applyAlignment="1">
      <alignment horizontal="center" vertical="center"/>
    </xf>
    <xf numFmtId="1" fontId="2" fillId="5" borderId="21" xfId="0" applyNumberFormat="1" applyFont="1" applyFill="1" applyBorder="1" applyAlignment="1">
      <alignment horizontal="center" vertical="center"/>
    </xf>
    <xf numFmtId="0" fontId="16" fillId="0" borderId="0" xfId="0" applyFont="1"/>
    <xf numFmtId="0" fontId="13" fillId="0" borderId="0" xfId="0" applyFont="1"/>
    <xf numFmtId="169" fontId="0" fillId="0" borderId="0" xfId="0" applyNumberFormat="1" applyAlignment="1">
      <alignment horizontal="center" vertical="center"/>
    </xf>
    <xf numFmtId="170" fontId="2" fillId="5" borderId="1" xfId="0" applyNumberFormat="1" applyFont="1" applyFill="1" applyBorder="1" applyAlignment="1">
      <alignment horizontal="center" vertical="center"/>
    </xf>
    <xf numFmtId="168" fontId="2" fillId="5" borderId="5" xfId="0" applyNumberFormat="1" applyFont="1" applyFill="1" applyBorder="1" applyAlignment="1">
      <alignment horizontal="center" vertical="center"/>
    </xf>
    <xf numFmtId="0" fontId="13" fillId="5" borderId="20" xfId="0" applyFont="1" applyFill="1" applyBorder="1" applyAlignment="1">
      <alignment horizontal="center" vertical="center"/>
    </xf>
    <xf numFmtId="0" fontId="13" fillId="5" borderId="25" xfId="0" applyFont="1" applyFill="1" applyBorder="1" applyAlignment="1">
      <alignment horizontal="center" vertical="center"/>
    </xf>
    <xf numFmtId="164" fontId="13" fillId="5" borderId="8" xfId="0" applyNumberFormat="1" applyFont="1" applyFill="1" applyBorder="1" applyAlignment="1">
      <alignment horizontal="center" vertical="center"/>
    </xf>
    <xf numFmtId="164" fontId="13" fillId="5" borderId="9" xfId="0" applyNumberFormat="1" applyFont="1" applyFill="1" applyBorder="1" applyAlignment="1">
      <alignment horizontal="center" vertical="center"/>
    </xf>
    <xf numFmtId="1" fontId="13" fillId="5" borderId="1" xfId="0" applyNumberFormat="1" applyFont="1" applyFill="1" applyBorder="1" applyAlignment="1">
      <alignment horizontal="center" vertical="center"/>
    </xf>
    <xf numFmtId="0" fontId="0" fillId="7" borderId="2" xfId="0" applyFill="1" applyBorder="1" applyAlignment="1">
      <alignment horizontal="center" vertical="center"/>
    </xf>
    <xf numFmtId="164" fontId="2" fillId="5" borderId="29" xfId="0" applyNumberFormat="1" applyFont="1" applyFill="1" applyBorder="1" applyAlignment="1">
      <alignment horizontal="center" vertical="center"/>
    </xf>
    <xf numFmtId="0" fontId="0" fillId="7" borderId="30" xfId="0" applyFill="1" applyBorder="1" applyAlignment="1">
      <alignment horizontal="center" vertical="center"/>
    </xf>
    <xf numFmtId="0" fontId="0" fillId="7" borderId="23" xfId="0" applyFill="1" applyBorder="1" applyAlignment="1">
      <alignment horizontal="center" vertical="center"/>
    </xf>
    <xf numFmtId="0" fontId="3" fillId="4" borderId="21" xfId="0" applyFont="1" applyFill="1" applyBorder="1" applyAlignment="1">
      <alignment horizontal="center" vertical="center"/>
    </xf>
    <xf numFmtId="0" fontId="1" fillId="4" borderId="20" xfId="0" applyFont="1" applyFill="1" applyBorder="1" applyAlignment="1">
      <alignment horizontal="center" vertical="center"/>
    </xf>
    <xf numFmtId="0" fontId="1" fillId="4" borderId="25" xfId="0" applyFont="1" applyFill="1" applyBorder="1" applyAlignment="1">
      <alignment horizontal="center" vertical="center"/>
    </xf>
    <xf numFmtId="164" fontId="2" fillId="5" borderId="26" xfId="0" applyNumberFormat="1" applyFont="1" applyFill="1" applyBorder="1" applyAlignment="1">
      <alignment horizontal="center" vertical="center"/>
    </xf>
    <xf numFmtId="2" fontId="2" fillId="5" borderId="26" xfId="0" applyNumberFormat="1" applyFont="1" applyFill="1" applyBorder="1" applyAlignment="1">
      <alignment horizontal="center" vertical="center"/>
    </xf>
    <xf numFmtId="0" fontId="6" fillId="4" borderId="5"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6"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5" xfId="0" applyFont="1" applyFill="1" applyBorder="1" applyAlignment="1">
      <alignment horizontal="center" vertical="center"/>
    </xf>
    <xf numFmtId="0" fontId="3" fillId="4" borderId="1" xfId="0" applyFont="1" applyFill="1" applyBorder="1" applyAlignment="1">
      <alignment horizontal="center" vertical="center"/>
    </xf>
    <xf numFmtId="0" fontId="12" fillId="6" borderId="8" xfId="0" applyFont="1" applyFill="1" applyBorder="1" applyAlignment="1">
      <alignment horizontal="center" vertical="center"/>
    </xf>
    <xf numFmtId="0" fontId="12" fillId="6" borderId="10" xfId="0" applyFont="1" applyFill="1" applyBorder="1" applyAlignment="1">
      <alignment horizontal="center" vertical="center"/>
    </xf>
    <xf numFmtId="0" fontId="12" fillId="6" borderId="9" xfId="0" applyFont="1" applyFill="1" applyBorder="1" applyAlignment="1">
      <alignment horizontal="center" vertical="center"/>
    </xf>
    <xf numFmtId="0" fontId="12" fillId="6" borderId="1" xfId="0" applyFont="1" applyFill="1" applyBorder="1" applyAlignment="1">
      <alignment horizontal="center" vertical="center"/>
    </xf>
    <xf numFmtId="0" fontId="15" fillId="7" borderId="2" xfId="0" applyFont="1" applyFill="1" applyBorder="1" applyAlignment="1">
      <alignment horizontal="center" vertical="center" wrapText="1"/>
    </xf>
    <xf numFmtId="0" fontId="15" fillId="7" borderId="3" xfId="0" applyFont="1" applyFill="1" applyBorder="1" applyAlignment="1">
      <alignment horizontal="center" vertical="center" wrapText="1"/>
    </xf>
    <xf numFmtId="0" fontId="15" fillId="7" borderId="13" xfId="0" applyFont="1" applyFill="1" applyBorder="1" applyAlignment="1">
      <alignment horizontal="center" vertical="center" wrapText="1"/>
    </xf>
    <xf numFmtId="0" fontId="15" fillId="7" borderId="4" xfId="0" applyFont="1" applyFill="1" applyBorder="1" applyAlignment="1">
      <alignment horizontal="center" vertical="center" wrapText="1"/>
    </xf>
    <xf numFmtId="0" fontId="15" fillId="7" borderId="0" xfId="0" applyFont="1" applyFill="1" applyAlignment="1">
      <alignment horizontal="center" vertical="center" wrapText="1"/>
    </xf>
    <xf numFmtId="0" fontId="15" fillId="7" borderId="12" xfId="0" applyFont="1" applyFill="1" applyBorder="1" applyAlignment="1">
      <alignment horizontal="center" vertical="center" wrapText="1"/>
    </xf>
    <xf numFmtId="0" fontId="15" fillId="7" borderId="16"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15" fillId="7" borderId="15" xfId="0" applyFont="1" applyFill="1" applyBorder="1" applyAlignment="1">
      <alignment horizontal="center" vertical="center" wrapText="1"/>
    </xf>
    <xf numFmtId="0" fontId="12" fillId="8" borderId="8" xfId="0" applyFont="1" applyFill="1" applyBorder="1" applyAlignment="1">
      <alignment horizontal="center" vertical="center"/>
    </xf>
    <xf numFmtId="0" fontId="12" fillId="8" borderId="10" xfId="0" applyFont="1" applyFill="1" applyBorder="1" applyAlignment="1">
      <alignment horizontal="center" vertical="center"/>
    </xf>
    <xf numFmtId="0" fontId="12" fillId="8" borderId="9" xfId="0" applyFont="1" applyFill="1" applyBorder="1" applyAlignment="1">
      <alignment horizontal="center" vertical="center"/>
    </xf>
    <xf numFmtId="168" fontId="2" fillId="5" borderId="5" xfId="0" applyNumberFormat="1" applyFont="1" applyFill="1" applyBorder="1" applyAlignment="1">
      <alignment horizontal="center" vertical="center"/>
    </xf>
    <xf numFmtId="168" fontId="2" fillId="5" borderId="7" xfId="0" applyNumberFormat="1" applyFont="1" applyFill="1" applyBorder="1" applyAlignment="1">
      <alignment horizontal="center" vertical="center"/>
    </xf>
    <xf numFmtId="168" fontId="2" fillId="5" borderId="6" xfId="0"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9" xfId="0" applyFont="1" applyFill="1" applyBorder="1" applyAlignment="1">
      <alignment horizontal="center" vertical="center"/>
    </xf>
    <xf numFmtId="1" fontId="2" fillId="5" borderId="8" xfId="0" applyNumberFormat="1" applyFont="1" applyFill="1" applyBorder="1" applyAlignment="1">
      <alignment horizontal="center" vertical="center"/>
    </xf>
    <xf numFmtId="1" fontId="2" fillId="5" borderId="9" xfId="0" applyNumberFormat="1" applyFont="1" applyFill="1" applyBorder="1" applyAlignment="1">
      <alignment horizontal="center" vertical="center"/>
    </xf>
    <xf numFmtId="0" fontId="12" fillId="6" borderId="17" xfId="0" applyFont="1" applyFill="1" applyBorder="1" applyAlignment="1">
      <alignment horizontal="center" vertical="center"/>
    </xf>
    <xf numFmtId="0" fontId="12" fillId="6" borderId="19"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9" xfId="0" applyFont="1" applyFill="1" applyBorder="1" applyAlignment="1">
      <alignment horizontal="center" vertical="center"/>
    </xf>
    <xf numFmtId="0" fontId="12" fillId="6" borderId="18" xfId="0" applyFont="1" applyFill="1" applyBorder="1" applyAlignment="1">
      <alignment horizontal="center" vertical="center"/>
    </xf>
    <xf numFmtId="0" fontId="13" fillId="5" borderId="22" xfId="0" applyFont="1" applyFill="1" applyBorder="1" applyAlignment="1">
      <alignment horizontal="center" vertical="center"/>
    </xf>
    <xf numFmtId="0" fontId="13" fillId="5" borderId="10" xfId="0" applyFont="1" applyFill="1" applyBorder="1" applyAlignment="1">
      <alignment horizontal="center" vertical="center"/>
    </xf>
    <xf numFmtId="0" fontId="12" fillId="8" borderId="20" xfId="0" applyFont="1" applyFill="1" applyBorder="1" applyAlignment="1">
      <alignment horizontal="center" vertical="center"/>
    </xf>
    <xf numFmtId="0" fontId="12" fillId="8" borderId="1" xfId="0" applyFont="1" applyFill="1" applyBorder="1" applyAlignment="1">
      <alignment horizontal="center" vertical="center"/>
    </xf>
    <xf numFmtId="0" fontId="12" fillId="8" borderId="21"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1" xfId="0" applyFont="1" applyFill="1" applyBorder="1" applyAlignment="1">
      <alignment horizontal="center" vertical="center"/>
    </xf>
    <xf numFmtId="0" fontId="13" fillId="5" borderId="25" xfId="0" applyFont="1" applyFill="1" applyBorder="1" applyAlignment="1">
      <alignment horizontal="center" vertical="center"/>
    </xf>
    <xf numFmtId="0" fontId="13" fillId="5" borderId="26" xfId="0" applyFont="1" applyFill="1" applyBorder="1" applyAlignment="1">
      <alignment horizontal="center" vertical="center"/>
    </xf>
    <xf numFmtId="1" fontId="13" fillId="5" borderId="1" xfId="0" applyNumberFormat="1" applyFont="1" applyFill="1" applyBorder="1" applyAlignment="1">
      <alignment horizontal="center" vertical="center"/>
    </xf>
    <xf numFmtId="164" fontId="13" fillId="5" borderId="8" xfId="0" applyNumberFormat="1" applyFont="1" applyFill="1" applyBorder="1" applyAlignment="1">
      <alignment horizontal="center" vertical="center"/>
    </xf>
    <xf numFmtId="164" fontId="13" fillId="5" borderId="10" xfId="0" applyNumberFormat="1" applyFont="1" applyFill="1" applyBorder="1" applyAlignment="1">
      <alignment horizontal="center" vertical="center"/>
    </xf>
    <xf numFmtId="164" fontId="13" fillId="5" borderId="9" xfId="0" applyNumberFormat="1" applyFont="1" applyFill="1" applyBorder="1" applyAlignment="1">
      <alignment horizontal="center" vertical="center"/>
    </xf>
    <xf numFmtId="0" fontId="18" fillId="4" borderId="8" xfId="0" applyFont="1" applyFill="1" applyBorder="1" applyAlignment="1">
      <alignment horizontal="center" vertical="center"/>
    </xf>
    <xf numFmtId="0" fontId="18" fillId="4" borderId="10" xfId="0" applyFont="1" applyFill="1" applyBorder="1" applyAlignment="1">
      <alignment horizontal="center" vertical="center"/>
    </xf>
    <xf numFmtId="0" fontId="18" fillId="4" borderId="9" xfId="0" applyFont="1" applyFill="1" applyBorder="1" applyAlignment="1">
      <alignment horizontal="center" vertical="center"/>
    </xf>
    <xf numFmtId="0" fontId="19" fillId="5" borderId="1"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9" xfId="0" applyFont="1" applyFill="1" applyBorder="1" applyAlignment="1">
      <alignment horizontal="center" vertical="center"/>
    </xf>
    <xf numFmtId="1" fontId="2" fillId="5" borderId="10" xfId="0" applyNumberFormat="1" applyFont="1" applyFill="1" applyBorder="1" applyAlignment="1">
      <alignment horizontal="center" vertical="center"/>
    </xf>
    <xf numFmtId="0" fontId="12" fillId="6" borderId="31" xfId="0" applyFont="1" applyFill="1" applyBorder="1" applyAlignment="1">
      <alignment horizontal="center" vertical="center"/>
    </xf>
    <xf numFmtId="0" fontId="12" fillId="6" borderId="32" xfId="0" applyFont="1" applyFill="1" applyBorder="1" applyAlignment="1">
      <alignment horizontal="center" vertical="center"/>
    </xf>
    <xf numFmtId="0" fontId="12" fillId="6" borderId="33" xfId="0" applyFont="1" applyFill="1" applyBorder="1" applyAlignment="1">
      <alignment horizontal="center" vertical="center"/>
    </xf>
    <xf numFmtId="0" fontId="22" fillId="9" borderId="0" xfId="0" applyFont="1" applyFill="1" applyBorder="1" applyAlignment="1">
      <alignment horizontal="center" vertical="center"/>
    </xf>
    <xf numFmtId="0" fontId="23" fillId="9" borderId="0" xfId="0" applyFont="1" applyFill="1" applyBorder="1" applyAlignment="1">
      <alignment horizontal="center" vertical="center"/>
    </xf>
    <xf numFmtId="0" fontId="1" fillId="9" borderId="0" xfId="0" applyFont="1" applyFill="1" applyBorder="1" applyAlignment="1">
      <alignment horizontal="center" vertical="center"/>
    </xf>
    <xf numFmtId="1" fontId="3" fillId="9" borderId="0" xfId="0" applyNumberFormat="1" applyFont="1" applyFill="1" applyBorder="1" applyAlignment="1">
      <alignment horizontal="center" vertical="center"/>
    </xf>
  </cellXfs>
  <cellStyles count="1">
    <cellStyle name="Normal" xfId="0" builtinId="0"/>
  </cellStyles>
  <dxfs count="1">
    <dxf>
      <fill>
        <patternFill>
          <bgColor rgb="FF00B050"/>
        </patternFill>
      </fill>
    </dxf>
  </dxfs>
  <tableStyles count="0" defaultTableStyle="TableStyleMedium2" defaultPivotStyle="PivotStyleLight16"/>
  <colors>
    <mruColors>
      <color rgb="FFC3E6E1"/>
      <color rgb="FF264653"/>
      <color rgb="FFA7C4BC"/>
      <color rgb="FF207A6F"/>
      <color rgb="FF258B7F"/>
      <color rgb="FF2A9D8F"/>
      <color rgb="FFE9F5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absolute">
    <xdr:from>
      <xdr:col>7</xdr:col>
      <xdr:colOff>4959</xdr:colOff>
      <xdr:row>0</xdr:row>
      <xdr:rowOff>0</xdr:rowOff>
    </xdr:from>
    <xdr:to>
      <xdr:col>15</xdr:col>
      <xdr:colOff>0</xdr:colOff>
      <xdr:row>5</xdr:row>
      <xdr:rowOff>0</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429EFE3-1E8F-41E9-A637-73B08CCBE644}"/>
                </a:ext>
              </a:extLst>
            </xdr:cNvPr>
            <xdr:cNvSpPr txBox="1">
              <a:spLocks noChangeAspect="1"/>
            </xdr:cNvSpPr>
          </xdr:nvSpPr>
          <xdr:spPr>
            <a:xfrm>
              <a:off x="7556923" y="0"/>
              <a:ext cx="6635327" cy="1224643"/>
            </a:xfrm>
            <a:prstGeom prst="rect">
              <a:avLst/>
            </a:prstGeom>
            <a:solidFill>
              <a:srgbClr val="A7C4BC"/>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
                  </m:oMathParaPr>
                  <m:oMath xmlns:m="http://schemas.openxmlformats.org/officeDocument/2006/math">
                    <m:r>
                      <a:rPr lang="en-US" sz="2400" b="0" i="1">
                        <a:latin typeface="Cambria Math" panose="02040503050406030204" pitchFamily="18" charset="0"/>
                      </a:rPr>
                      <m:t>𝑊</m:t>
                    </m:r>
                    <m:r>
                      <a:rPr lang="en-US" sz="2400" b="0" i="1">
                        <a:latin typeface="Cambria Math" panose="02040503050406030204" pitchFamily="18" charset="0"/>
                      </a:rPr>
                      <m:t>=</m:t>
                    </m:r>
                    <m:func>
                      <m:funcPr>
                        <m:ctrlPr>
                          <a:rPr lang="en-US" sz="2400" b="0" i="1">
                            <a:latin typeface="Cambria Math" panose="02040503050406030204" pitchFamily="18" charset="0"/>
                          </a:rPr>
                        </m:ctrlPr>
                      </m:funcPr>
                      <m:fName>
                        <m:limLow>
                          <m:limLowPr>
                            <m:ctrlPr>
                              <a:rPr lang="en-US" sz="2400" b="0" i="1">
                                <a:latin typeface="Cambria Math" panose="02040503050406030204" pitchFamily="18" charset="0"/>
                              </a:rPr>
                            </m:ctrlPr>
                          </m:limLowPr>
                          <m:e>
                            <m:r>
                              <m:rPr>
                                <m:sty m:val="p"/>
                              </m:rPr>
                              <a:rPr lang="en-US" sz="2400" b="0" i="0">
                                <a:latin typeface="Cambria Math" panose="02040503050406030204" pitchFamily="18" charset="0"/>
                              </a:rPr>
                              <m:t>lim</m:t>
                            </m:r>
                          </m:e>
                          <m:lim>
                            <m:r>
                              <a:rPr lang="en-US" sz="2400" b="0" i="1">
                                <a:latin typeface="Cambria Math" panose="02040503050406030204" pitchFamily="18" charset="0"/>
                              </a:rPr>
                              <m:t>𝑘</m:t>
                            </m:r>
                            <m:r>
                              <a:rPr lang="en-US" sz="2400" b="0" i="1">
                                <a:latin typeface="Cambria Math" panose="02040503050406030204" pitchFamily="18" charset="0"/>
                              </a:rPr>
                              <m:t> → </m:t>
                            </m:r>
                            <m:r>
                              <a:rPr lang="en-US" sz="2400" b="0" i="1">
                                <a:latin typeface="Cambria Math" panose="02040503050406030204" pitchFamily="18" charset="0"/>
                              </a:rPr>
                              <m:t>∞</m:t>
                            </m:r>
                          </m:lim>
                        </m:limLow>
                      </m:fName>
                      <m:e>
                        <m:f>
                          <m:fPr>
                            <m:ctrlPr>
                              <a:rPr lang="en-US" sz="2400" b="0" i="1">
                                <a:solidFill>
                                  <a:schemeClr val="tx1"/>
                                </a:solidFill>
                                <a:effectLst/>
                                <a:latin typeface="Cambria Math" panose="02040503050406030204" pitchFamily="18" charset="0"/>
                                <a:ea typeface="+mn-ea"/>
                                <a:cs typeface="+mn-cs"/>
                              </a:rPr>
                            </m:ctrlPr>
                          </m:fPr>
                          <m:num>
                            <m:sSup>
                              <m:sSupPr>
                                <m:ctrlPr>
                                  <a:rPr lang="en-US" sz="2400" b="0" i="1">
                                    <a:solidFill>
                                      <a:schemeClr val="tx1"/>
                                    </a:solidFill>
                                    <a:effectLst/>
                                    <a:latin typeface="Cambria Math" panose="02040503050406030204" pitchFamily="18" charset="0"/>
                                    <a:ea typeface="+mn-ea"/>
                                    <a:cs typeface="+mn-cs"/>
                                  </a:rPr>
                                </m:ctrlPr>
                              </m:sSupPr>
                              <m:e>
                                <m:r>
                                  <a:rPr lang="en-US" sz="2400" b="0" i="1">
                                    <a:solidFill>
                                      <a:schemeClr val="tx1"/>
                                    </a:solidFill>
                                    <a:effectLst/>
                                    <a:latin typeface="Cambria Math" panose="02040503050406030204" pitchFamily="18" charset="0"/>
                                    <a:ea typeface="+mn-ea"/>
                                    <a:cs typeface="+mn-cs"/>
                                  </a:rPr>
                                  <m:t>𝐴</m:t>
                                </m:r>
                              </m:e>
                              <m:sup>
                                <m:r>
                                  <a:rPr lang="en-US" sz="2400" b="0" i="1">
                                    <a:solidFill>
                                      <a:schemeClr val="tx1"/>
                                    </a:solidFill>
                                    <a:effectLst/>
                                    <a:latin typeface="Cambria Math" panose="02040503050406030204" pitchFamily="18" charset="0"/>
                                    <a:ea typeface="+mn-ea"/>
                                    <a:cs typeface="+mn-cs"/>
                                  </a:rPr>
                                  <m:t>𝑘</m:t>
                                </m:r>
                              </m:sup>
                            </m:sSup>
                            <m:r>
                              <a:rPr lang="en-US" sz="2400" b="0" i="1">
                                <a:solidFill>
                                  <a:schemeClr val="tx1"/>
                                </a:solidFill>
                                <a:effectLst/>
                                <a:latin typeface="Cambria Math" panose="02040503050406030204" pitchFamily="18" charset="0"/>
                                <a:ea typeface="+mn-ea"/>
                                <a:cs typeface="+mn-cs"/>
                              </a:rPr>
                              <m:t>.</m:t>
                            </m:r>
                            <m:r>
                              <a:rPr lang="en-US" sz="2400" b="0" i="1">
                                <a:solidFill>
                                  <a:schemeClr val="tx1"/>
                                </a:solidFill>
                                <a:effectLst/>
                                <a:latin typeface="Cambria Math" panose="02040503050406030204" pitchFamily="18" charset="0"/>
                                <a:ea typeface="+mn-ea"/>
                                <a:cs typeface="+mn-cs"/>
                              </a:rPr>
                              <m:t>𝑒</m:t>
                            </m:r>
                          </m:num>
                          <m:den>
                            <m:sSup>
                              <m:sSupPr>
                                <m:ctrlPr>
                                  <a:rPr lang="en-US" sz="2400" b="0" i="1">
                                    <a:solidFill>
                                      <a:schemeClr val="tx1"/>
                                    </a:solidFill>
                                    <a:effectLst/>
                                    <a:latin typeface="Cambria Math" panose="02040503050406030204" pitchFamily="18" charset="0"/>
                                    <a:ea typeface="+mn-ea"/>
                                    <a:cs typeface="+mn-cs"/>
                                  </a:rPr>
                                </m:ctrlPr>
                              </m:sSupPr>
                              <m:e>
                                <m:r>
                                  <a:rPr lang="en-US" sz="2400" b="0" i="1">
                                    <a:solidFill>
                                      <a:schemeClr val="tx1"/>
                                    </a:solidFill>
                                    <a:effectLst/>
                                    <a:latin typeface="Cambria Math" panose="02040503050406030204" pitchFamily="18" charset="0"/>
                                    <a:ea typeface="+mn-ea"/>
                                    <a:cs typeface="+mn-cs"/>
                                  </a:rPr>
                                  <m:t>𝑒</m:t>
                                </m:r>
                              </m:e>
                              <m:sup>
                                <m:r>
                                  <a:rPr lang="en-US" sz="2400" b="0" i="1">
                                    <a:solidFill>
                                      <a:schemeClr val="tx1"/>
                                    </a:solidFill>
                                    <a:effectLst/>
                                    <a:latin typeface="Cambria Math" panose="02040503050406030204" pitchFamily="18" charset="0"/>
                                    <a:ea typeface="+mn-ea"/>
                                    <a:cs typeface="+mn-cs"/>
                                  </a:rPr>
                                  <m:t>𝑡</m:t>
                                </m:r>
                              </m:sup>
                            </m:sSup>
                            <m:r>
                              <a:rPr lang="en-US" sz="2400" b="0" i="1">
                                <a:solidFill>
                                  <a:schemeClr val="tx1"/>
                                </a:solidFill>
                                <a:effectLst/>
                                <a:latin typeface="Cambria Math" panose="02040503050406030204" pitchFamily="18" charset="0"/>
                                <a:ea typeface="+mn-ea"/>
                                <a:cs typeface="+mn-cs"/>
                              </a:rPr>
                              <m:t>.</m:t>
                            </m:r>
                            <m:sSup>
                              <m:sSupPr>
                                <m:ctrlPr>
                                  <a:rPr lang="en-US" sz="2400" b="0" i="1">
                                    <a:solidFill>
                                      <a:schemeClr val="tx1"/>
                                    </a:solidFill>
                                    <a:effectLst/>
                                    <a:latin typeface="Cambria Math" panose="02040503050406030204" pitchFamily="18" charset="0"/>
                                    <a:ea typeface="+mn-ea"/>
                                    <a:cs typeface="+mn-cs"/>
                                  </a:rPr>
                                </m:ctrlPr>
                              </m:sSupPr>
                              <m:e>
                                <m:r>
                                  <a:rPr lang="en-US" sz="2400" b="0" i="1">
                                    <a:solidFill>
                                      <a:schemeClr val="tx1"/>
                                    </a:solidFill>
                                    <a:effectLst/>
                                    <a:latin typeface="Cambria Math" panose="02040503050406030204" pitchFamily="18" charset="0"/>
                                    <a:ea typeface="+mn-ea"/>
                                    <a:cs typeface="+mn-cs"/>
                                  </a:rPr>
                                  <m:t>𝐴</m:t>
                                </m:r>
                              </m:e>
                              <m:sup>
                                <m:r>
                                  <a:rPr lang="en-US" sz="2400" b="0" i="1">
                                    <a:solidFill>
                                      <a:schemeClr val="tx1"/>
                                    </a:solidFill>
                                    <a:effectLst/>
                                    <a:latin typeface="Cambria Math" panose="02040503050406030204" pitchFamily="18" charset="0"/>
                                    <a:ea typeface="+mn-ea"/>
                                    <a:cs typeface="+mn-cs"/>
                                  </a:rPr>
                                  <m:t>𝑘</m:t>
                                </m:r>
                              </m:sup>
                            </m:sSup>
                            <m:r>
                              <a:rPr lang="en-US" sz="2400" b="0" i="1">
                                <a:solidFill>
                                  <a:schemeClr val="tx1"/>
                                </a:solidFill>
                                <a:effectLst/>
                                <a:latin typeface="Cambria Math" panose="02040503050406030204" pitchFamily="18" charset="0"/>
                                <a:ea typeface="+mn-ea"/>
                                <a:cs typeface="+mn-cs"/>
                              </a:rPr>
                              <m:t>.</m:t>
                            </m:r>
                            <m:r>
                              <a:rPr lang="en-US" sz="2400" b="0" i="1">
                                <a:solidFill>
                                  <a:schemeClr val="tx1"/>
                                </a:solidFill>
                                <a:effectLst/>
                                <a:latin typeface="Cambria Math" panose="02040503050406030204" pitchFamily="18" charset="0"/>
                                <a:ea typeface="+mn-ea"/>
                                <a:cs typeface="+mn-cs"/>
                              </a:rPr>
                              <m:t>𝑒</m:t>
                            </m:r>
                          </m:den>
                        </m:f>
                      </m:e>
                    </m:func>
                  </m:oMath>
                </m:oMathPara>
              </a14:m>
              <a:endParaRPr lang="en-US" sz="2400"/>
            </a:p>
          </xdr:txBody>
        </xdr:sp>
      </mc:Choice>
      <mc:Fallback xmlns="">
        <xdr:sp macro="" textlink="">
          <xdr:nvSpPr>
            <xdr:cNvPr id="2" name="TextBox 1">
              <a:extLst>
                <a:ext uri="{FF2B5EF4-FFF2-40B4-BE49-F238E27FC236}">
                  <a16:creationId xmlns:a16="http://schemas.microsoft.com/office/drawing/2014/main" id="{7429EFE3-1E8F-41E9-A637-73B08CCBE644}"/>
                </a:ext>
              </a:extLst>
            </xdr:cNvPr>
            <xdr:cNvSpPr txBox="1">
              <a:spLocks noChangeAspect="1"/>
            </xdr:cNvSpPr>
          </xdr:nvSpPr>
          <xdr:spPr>
            <a:xfrm>
              <a:off x="7556923" y="0"/>
              <a:ext cx="6635327" cy="1224643"/>
            </a:xfrm>
            <a:prstGeom prst="rect">
              <a:avLst/>
            </a:prstGeom>
            <a:solidFill>
              <a:srgbClr val="A7C4BC"/>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r>
                <a:rPr lang="en-US" sz="2400" b="0" i="0">
                  <a:latin typeface="Cambria Math" panose="02040503050406030204" pitchFamily="18" charset="0"/>
                </a:rPr>
                <a:t>𝑊=lim┬(𝑘 → ∞)⁡〖</a:t>
              </a:r>
              <a:r>
                <a:rPr lang="en-US" sz="2400" b="0" i="0">
                  <a:solidFill>
                    <a:schemeClr val="tx1"/>
                  </a:solidFill>
                  <a:effectLst/>
                  <a:latin typeface="Cambria Math" panose="02040503050406030204" pitchFamily="18" charset="0"/>
                  <a:ea typeface="+mn-ea"/>
                  <a:cs typeface="+mn-cs"/>
                </a:rPr>
                <a:t>(𝐴^𝑘.𝑒)/(𝑒^𝑡.𝐴^𝑘.𝑒)〗</a:t>
              </a:r>
              <a:endParaRPr lang="en-US" sz="24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6</xdr:col>
      <xdr:colOff>272142</xdr:colOff>
      <xdr:row>2</xdr:row>
      <xdr:rowOff>0</xdr:rowOff>
    </xdr:from>
    <xdr:ext cx="2734445" cy="99391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3B92EFD-2034-4870-AFA6-EEC7D891DAC1}"/>
                </a:ext>
              </a:extLst>
            </xdr:cNvPr>
            <xdr:cNvSpPr txBox="1"/>
          </xdr:nvSpPr>
          <xdr:spPr>
            <a:xfrm>
              <a:off x="7569120" y="496957"/>
              <a:ext cx="2734445" cy="993913"/>
            </a:xfrm>
            <a:prstGeom prst="rect">
              <a:avLst/>
            </a:prstGeom>
            <a:solidFill>
              <a:srgbClr val="A7C4BC"/>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
                  </m:oMathParaPr>
                  <m:oMath xmlns:m="http://schemas.openxmlformats.org/officeDocument/2006/math">
                    <m:r>
                      <a:rPr lang="en-US" sz="1600" b="0" i="1">
                        <a:latin typeface="Cambria Math" panose="02040503050406030204" pitchFamily="18" charset="0"/>
                      </a:rPr>
                      <m:t>𝑀𝑖𝑛</m:t>
                    </m:r>
                    <m:r>
                      <a:rPr lang="en-US" sz="1600" b="0" i="1">
                        <a:latin typeface="Cambria Math" panose="02040503050406030204" pitchFamily="18" charset="0"/>
                      </a:rPr>
                      <m:t> </m:t>
                    </m:r>
                    <m:nary>
                      <m:naryPr>
                        <m:chr m:val="∑"/>
                        <m:ctrlPr>
                          <a:rPr lang="en-US" sz="1600" b="0" i="1">
                            <a:latin typeface="Cambria Math" panose="02040503050406030204" pitchFamily="18" charset="0"/>
                          </a:rPr>
                        </m:ctrlPr>
                      </m:naryPr>
                      <m:sub>
                        <m:r>
                          <m:rPr>
                            <m:brk m:alnAt="23"/>
                          </m:rPr>
                          <a:rPr lang="en-US" sz="1600" b="0" i="1">
                            <a:latin typeface="Cambria Math" panose="02040503050406030204" pitchFamily="18" charset="0"/>
                          </a:rPr>
                          <m:t>𝑖</m:t>
                        </m:r>
                        <m:r>
                          <a:rPr lang="en-US" sz="1600" b="0" i="1">
                            <a:latin typeface="Cambria Math" panose="02040503050406030204" pitchFamily="18" charset="0"/>
                          </a:rPr>
                          <m:t>=</m:t>
                        </m:r>
                        <m:r>
                          <m:rPr>
                            <m:brk m:alnAt="23"/>
                          </m:rPr>
                          <a:rPr lang="en-US" sz="1600" b="0" i="1">
                            <a:latin typeface="Cambria Math" panose="02040503050406030204" pitchFamily="18" charset="0"/>
                          </a:rPr>
                          <m:t>1</m:t>
                        </m:r>
                      </m:sub>
                      <m:sup>
                        <m:r>
                          <a:rPr lang="en-US" sz="1600" b="0" i="1">
                            <a:latin typeface="Cambria Math" panose="02040503050406030204" pitchFamily="18" charset="0"/>
                          </a:rPr>
                          <m:t>4</m:t>
                        </m:r>
                      </m:sup>
                      <m:e>
                        <m:nary>
                          <m:naryPr>
                            <m:chr m:val="∑"/>
                            <m:ctrlPr>
                              <a:rPr lang="en-US" sz="1600" b="0" i="1">
                                <a:latin typeface="Cambria Math" panose="02040503050406030204" pitchFamily="18" charset="0"/>
                              </a:rPr>
                            </m:ctrlPr>
                          </m:naryPr>
                          <m:sub>
                            <m:r>
                              <m:rPr>
                                <m:brk m:alnAt="23"/>
                              </m:rPr>
                              <a:rPr lang="en-US" sz="1600" b="0" i="1">
                                <a:latin typeface="Cambria Math" panose="02040503050406030204" pitchFamily="18" charset="0"/>
                              </a:rPr>
                              <m:t>𝑗</m:t>
                            </m:r>
                            <m:r>
                              <a:rPr lang="en-US" sz="1600" b="0" i="1">
                                <a:latin typeface="Cambria Math" panose="02040503050406030204" pitchFamily="18" charset="0"/>
                              </a:rPr>
                              <m:t>=</m:t>
                            </m:r>
                            <m:r>
                              <m:rPr>
                                <m:brk m:alnAt="23"/>
                              </m:rPr>
                              <a:rPr lang="en-US" sz="1600" b="0" i="1">
                                <a:latin typeface="Cambria Math" panose="02040503050406030204" pitchFamily="18" charset="0"/>
                              </a:rPr>
                              <m:t>1</m:t>
                            </m:r>
                          </m:sub>
                          <m:sup>
                            <m:r>
                              <a:rPr lang="en-US" sz="1600" b="0" i="1">
                                <a:latin typeface="Cambria Math" panose="02040503050406030204" pitchFamily="18" charset="0"/>
                              </a:rPr>
                              <m:t>4</m:t>
                            </m:r>
                          </m:sup>
                          <m:e>
                            <m:sSup>
                              <m:sSupPr>
                                <m:ctrlPr>
                                  <a:rPr lang="en-US" sz="1600" b="0" i="1">
                                    <a:latin typeface="Cambria Math" panose="02040503050406030204" pitchFamily="18" charset="0"/>
                                  </a:rPr>
                                </m:ctrlPr>
                              </m:sSupPr>
                              <m:e>
                                <m:r>
                                  <a:rPr lang="en-US" sz="1600" b="0" i="1">
                                    <a:solidFill>
                                      <a:schemeClr val="tx1"/>
                                    </a:solidFill>
                                    <a:effectLst/>
                                    <a:latin typeface="Cambria Math" panose="02040503050406030204" pitchFamily="18" charset="0"/>
                                    <a:ea typeface="+mn-ea"/>
                                    <a:cs typeface="+mn-cs"/>
                                  </a:rPr>
                                  <m:t>(</m:t>
                                </m:r>
                                <m:sSub>
                                  <m:sSubPr>
                                    <m:ctrlPr>
                                      <a:rPr lang="en-US" sz="1600" b="0" i="1">
                                        <a:solidFill>
                                          <a:schemeClr val="tx1"/>
                                        </a:solidFill>
                                        <a:effectLst/>
                                        <a:latin typeface="Cambria Math" panose="02040503050406030204" pitchFamily="18" charset="0"/>
                                        <a:ea typeface="+mn-ea"/>
                                        <a:cs typeface="+mn-cs"/>
                                      </a:rPr>
                                    </m:ctrlPr>
                                  </m:sSubPr>
                                  <m:e>
                                    <m:r>
                                      <a:rPr lang="en-US" sz="1600" b="0" i="1">
                                        <a:solidFill>
                                          <a:schemeClr val="tx1"/>
                                        </a:solidFill>
                                        <a:effectLst/>
                                        <a:latin typeface="Cambria Math" panose="02040503050406030204" pitchFamily="18" charset="0"/>
                                        <a:ea typeface="+mn-ea"/>
                                        <a:cs typeface="+mn-cs"/>
                                      </a:rPr>
                                      <m:t>𝑢</m:t>
                                    </m:r>
                                  </m:e>
                                  <m:sub>
                                    <m:r>
                                      <a:rPr lang="en-US" sz="1600" b="0" i="1">
                                        <a:solidFill>
                                          <a:schemeClr val="tx1"/>
                                        </a:solidFill>
                                        <a:effectLst/>
                                        <a:latin typeface="Cambria Math" panose="02040503050406030204" pitchFamily="18" charset="0"/>
                                        <a:ea typeface="+mn-ea"/>
                                        <a:cs typeface="+mn-cs"/>
                                      </a:rPr>
                                      <m:t>𝑖𝑗</m:t>
                                    </m:r>
                                  </m:sub>
                                </m:sSub>
                                <m:r>
                                  <a:rPr lang="en-US" sz="1600" b="0" i="1">
                                    <a:solidFill>
                                      <a:schemeClr val="tx1"/>
                                    </a:solidFill>
                                    <a:effectLst/>
                                    <a:latin typeface="Cambria Math" panose="02040503050406030204" pitchFamily="18" charset="0"/>
                                    <a:ea typeface="+mn-ea"/>
                                    <a:cs typeface="+mn-cs"/>
                                  </a:rPr>
                                  <m:t>.</m:t>
                                </m:r>
                                <m:sSub>
                                  <m:sSubPr>
                                    <m:ctrlPr>
                                      <a:rPr lang="en-US" sz="1600" b="0" i="1">
                                        <a:solidFill>
                                          <a:schemeClr val="tx1"/>
                                        </a:solidFill>
                                        <a:effectLst/>
                                        <a:latin typeface="Cambria Math" panose="02040503050406030204" pitchFamily="18" charset="0"/>
                                        <a:ea typeface="+mn-ea"/>
                                        <a:cs typeface="+mn-cs"/>
                                      </a:rPr>
                                    </m:ctrlPr>
                                  </m:sSubPr>
                                  <m:e>
                                    <m:r>
                                      <a:rPr lang="en-US" sz="1600" b="0" i="1">
                                        <a:solidFill>
                                          <a:schemeClr val="tx1"/>
                                        </a:solidFill>
                                        <a:effectLst/>
                                        <a:latin typeface="Cambria Math" panose="02040503050406030204" pitchFamily="18" charset="0"/>
                                        <a:ea typeface="+mn-ea"/>
                                        <a:cs typeface="+mn-cs"/>
                                      </a:rPr>
                                      <m:t>𝑤</m:t>
                                    </m:r>
                                  </m:e>
                                  <m:sub>
                                    <m:r>
                                      <a:rPr lang="en-US" sz="1600" b="0" i="1">
                                        <a:solidFill>
                                          <a:schemeClr val="tx1"/>
                                        </a:solidFill>
                                        <a:effectLst/>
                                        <a:latin typeface="Cambria Math" panose="02040503050406030204" pitchFamily="18" charset="0"/>
                                        <a:ea typeface="+mn-ea"/>
                                        <a:cs typeface="+mn-cs"/>
                                      </a:rPr>
                                      <m:t>𝑗</m:t>
                                    </m:r>
                                  </m:sub>
                                </m:sSub>
                                <m:r>
                                  <a:rPr lang="en-US" sz="1600" b="0" i="1">
                                    <a:solidFill>
                                      <a:schemeClr val="tx1"/>
                                    </a:solidFill>
                                    <a:effectLst/>
                                    <a:latin typeface="Cambria Math" panose="02040503050406030204" pitchFamily="18" charset="0"/>
                                    <a:ea typeface="+mn-ea"/>
                                    <a:cs typeface="+mn-cs"/>
                                  </a:rPr>
                                  <m:t>−</m:t>
                                </m:r>
                                <m:sSub>
                                  <m:sSubPr>
                                    <m:ctrlPr>
                                      <a:rPr lang="en-US" sz="1600" b="0" i="1">
                                        <a:solidFill>
                                          <a:schemeClr val="tx1"/>
                                        </a:solidFill>
                                        <a:effectLst/>
                                        <a:latin typeface="Cambria Math" panose="02040503050406030204" pitchFamily="18" charset="0"/>
                                        <a:ea typeface="+mn-ea"/>
                                        <a:cs typeface="+mn-cs"/>
                                      </a:rPr>
                                    </m:ctrlPr>
                                  </m:sSubPr>
                                  <m:e>
                                    <m:r>
                                      <a:rPr lang="en-US" sz="1600" b="0" i="1">
                                        <a:solidFill>
                                          <a:schemeClr val="tx1"/>
                                        </a:solidFill>
                                        <a:effectLst/>
                                        <a:latin typeface="Cambria Math" panose="02040503050406030204" pitchFamily="18" charset="0"/>
                                        <a:ea typeface="+mn-ea"/>
                                        <a:cs typeface="+mn-cs"/>
                                      </a:rPr>
                                      <m:t>𝑤</m:t>
                                    </m:r>
                                  </m:e>
                                  <m:sub>
                                    <m:r>
                                      <a:rPr lang="en-US" sz="1600" b="0" i="1">
                                        <a:solidFill>
                                          <a:schemeClr val="tx1"/>
                                        </a:solidFill>
                                        <a:effectLst/>
                                        <a:latin typeface="Cambria Math" panose="02040503050406030204" pitchFamily="18" charset="0"/>
                                        <a:ea typeface="+mn-ea"/>
                                        <a:cs typeface="+mn-cs"/>
                                      </a:rPr>
                                      <m:t>𝑖</m:t>
                                    </m:r>
                                  </m:sub>
                                </m:sSub>
                                <m:r>
                                  <a:rPr lang="en-US" sz="1600" b="0" i="1">
                                    <a:solidFill>
                                      <a:schemeClr val="tx1"/>
                                    </a:solidFill>
                                    <a:effectLst/>
                                    <a:latin typeface="Cambria Math" panose="02040503050406030204" pitchFamily="18" charset="0"/>
                                    <a:ea typeface="+mn-ea"/>
                                    <a:cs typeface="+mn-cs"/>
                                  </a:rPr>
                                  <m:t>)</m:t>
                                </m:r>
                              </m:e>
                              <m:sup>
                                <m:r>
                                  <a:rPr lang="en-US" sz="1600" b="0" i="1">
                                    <a:latin typeface="Cambria Math" panose="02040503050406030204" pitchFamily="18" charset="0"/>
                                  </a:rPr>
                                  <m:t>2</m:t>
                                </m:r>
                              </m:sup>
                            </m:sSup>
                          </m:e>
                        </m:nary>
                      </m:e>
                    </m:nary>
                  </m:oMath>
                </m:oMathPara>
              </a14:m>
              <a:endParaRPr lang="en-US" sz="1600" b="0"/>
            </a:p>
          </xdr:txBody>
        </xdr:sp>
      </mc:Choice>
      <mc:Fallback xmlns="">
        <xdr:sp macro="" textlink="">
          <xdr:nvSpPr>
            <xdr:cNvPr id="3" name="TextBox 2">
              <a:extLst>
                <a:ext uri="{FF2B5EF4-FFF2-40B4-BE49-F238E27FC236}">
                  <a16:creationId xmlns:a16="http://schemas.microsoft.com/office/drawing/2014/main" id="{23B92EFD-2034-4870-AFA6-EEC7D891DAC1}"/>
                </a:ext>
              </a:extLst>
            </xdr:cNvPr>
            <xdr:cNvSpPr txBox="1"/>
          </xdr:nvSpPr>
          <xdr:spPr>
            <a:xfrm>
              <a:off x="7569120" y="496957"/>
              <a:ext cx="2734445" cy="993913"/>
            </a:xfrm>
            <a:prstGeom prst="rect">
              <a:avLst/>
            </a:prstGeom>
            <a:solidFill>
              <a:srgbClr val="A7C4BC"/>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r>
                <a:rPr lang="en-US" sz="1600" b="0" i="0">
                  <a:latin typeface="Cambria Math" panose="02040503050406030204" pitchFamily="18" charset="0"/>
                </a:rPr>
                <a:t>𝑀𝑖𝑛 ∑_(𝑖=1)^4▒∑_(𝑗=1)^4▒〖</a:t>
              </a:r>
              <a:r>
                <a:rPr lang="en-US" sz="1600" b="0" i="0">
                  <a:solidFill>
                    <a:schemeClr val="tx1"/>
                  </a:solidFill>
                  <a:effectLst/>
                  <a:latin typeface="Cambria Math" panose="02040503050406030204" pitchFamily="18" charset="0"/>
                  <a:ea typeface="+mn-ea"/>
                  <a:cs typeface="+mn-cs"/>
                </a:rPr>
                <a:t>(𝑢_𝑖𝑗.𝑤_𝑗−𝑤_𝑖)〗^</a:t>
              </a:r>
              <a:r>
                <a:rPr lang="en-US" sz="1600" b="0" i="0">
                  <a:latin typeface="Cambria Math" panose="02040503050406030204" pitchFamily="18" charset="0"/>
                </a:rPr>
                <a:t>2 </a:t>
              </a:r>
              <a:endParaRPr lang="en-US" sz="1600" b="0"/>
            </a:p>
          </xdr:txBody>
        </xdr:sp>
      </mc:Fallback>
    </mc:AlternateContent>
    <xdr:clientData/>
  </xdr:oneCellAnchor>
  <xdr:twoCellAnchor editAs="oneCell">
    <xdr:from>
      <xdr:col>12</xdr:col>
      <xdr:colOff>0</xdr:colOff>
      <xdr:row>1</xdr:row>
      <xdr:rowOff>1</xdr:rowOff>
    </xdr:from>
    <xdr:to>
      <xdr:col>21</xdr:col>
      <xdr:colOff>255011</xdr:colOff>
      <xdr:row>12</xdr:row>
      <xdr:rowOff>0</xdr:rowOff>
    </xdr:to>
    <xdr:pic>
      <xdr:nvPicPr>
        <xdr:cNvPr id="5" name="Picture 4">
          <a:extLst>
            <a:ext uri="{FF2B5EF4-FFF2-40B4-BE49-F238E27FC236}">
              <a16:creationId xmlns:a16="http://schemas.microsoft.com/office/drawing/2014/main" id="{ED11F4FB-1A59-4EA4-AB15-140C5307016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72656"/>
        <a:stretch/>
      </xdr:blipFill>
      <xdr:spPr>
        <a:xfrm>
          <a:off x="11989594" y="250032"/>
          <a:ext cx="7113011" cy="2750343"/>
        </a:xfrm>
        <a:prstGeom prst="rect">
          <a:avLst/>
        </a:prstGeom>
        <a:ln w="38100">
          <a:solidFill>
            <a:srgbClr val="264653"/>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0</xdr:colOff>
      <xdr:row>1</xdr:row>
      <xdr:rowOff>0</xdr:rowOff>
    </xdr:from>
    <xdr:to>
      <xdr:col>31</xdr:col>
      <xdr:colOff>255011</xdr:colOff>
      <xdr:row>41</xdr:row>
      <xdr:rowOff>57150</xdr:rowOff>
    </xdr:to>
    <xdr:pic>
      <xdr:nvPicPr>
        <xdr:cNvPr id="4" name="Picture 3">
          <a:extLst>
            <a:ext uri="{FF2B5EF4-FFF2-40B4-BE49-F238E27FC236}">
              <a16:creationId xmlns:a16="http://schemas.microsoft.com/office/drawing/2014/main" id="{246B4006-4E68-4A04-9D36-F2A10432E0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561969" y="250031"/>
          <a:ext cx="7113011" cy="10058400"/>
        </a:xfrm>
        <a:prstGeom prst="rect">
          <a:avLst/>
        </a:prstGeom>
        <a:ln w="38100">
          <a:solidFill>
            <a:srgbClr val="264653"/>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0</xdr:colOff>
      <xdr:row>1</xdr:row>
      <xdr:rowOff>0</xdr:rowOff>
    </xdr:from>
    <xdr:to>
      <xdr:col>21</xdr:col>
      <xdr:colOff>362168</xdr:colOff>
      <xdr:row>41</xdr:row>
      <xdr:rowOff>57150</xdr:rowOff>
    </xdr:to>
    <xdr:pic>
      <xdr:nvPicPr>
        <xdr:cNvPr id="5" name="Picture 4">
          <a:extLst>
            <a:ext uri="{FF2B5EF4-FFF2-40B4-BE49-F238E27FC236}">
              <a16:creationId xmlns:a16="http://schemas.microsoft.com/office/drawing/2014/main" id="{C1D51135-7ED6-4999-B03A-7871CC9636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77688" y="250031"/>
          <a:ext cx="7113011" cy="10058400"/>
        </a:xfrm>
        <a:prstGeom prst="rect">
          <a:avLst/>
        </a:prstGeom>
        <a:ln w="38100">
          <a:solidFill>
            <a:srgbClr val="264653"/>
          </a:solidFill>
        </a:ln>
      </xdr:spPr>
    </xdr:pic>
    <xdr:clientData/>
  </xdr:twoCellAnchor>
</xdr:wsDr>
</file>

<file path=xl/drawings/drawing5.xml><?xml version="1.0" encoding="utf-8"?>
<xdr:wsDr xmlns:xdr="http://schemas.openxmlformats.org/drawingml/2006/spreadsheetDrawing" xmlns:a="http://schemas.openxmlformats.org/drawingml/2006/main">
  <xdr:oneCellAnchor>
    <xdr:from>
      <xdr:col>7</xdr:col>
      <xdr:colOff>1</xdr:colOff>
      <xdr:row>33</xdr:row>
      <xdr:rowOff>0</xdr:rowOff>
    </xdr:from>
    <xdr:ext cx="915864" cy="24911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A27D640-A351-42BD-887F-BFCB1631EF36}"/>
                </a:ext>
              </a:extLst>
            </xdr:cNvPr>
            <xdr:cNvSpPr txBox="1"/>
          </xdr:nvSpPr>
          <xdr:spPr>
            <a:xfrm>
              <a:off x="7568713" y="8220808"/>
              <a:ext cx="915864" cy="249115"/>
            </a:xfrm>
            <a:prstGeom prst="rect">
              <a:avLst/>
            </a:prstGeom>
            <a:solidFill>
              <a:srgbClr val="C3E6E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nary>
                      <m:naryPr>
                        <m:chr m:val="∑"/>
                        <m:ctrlPr>
                          <a:rPr lang="en-US" sz="500" i="1">
                            <a:latin typeface="Cambria Math" panose="02040503050406030204" pitchFamily="18" charset="0"/>
                          </a:rPr>
                        </m:ctrlPr>
                      </m:naryPr>
                      <m:sub>
                        <m:r>
                          <m:rPr>
                            <m:brk m:alnAt="23"/>
                          </m:rPr>
                          <a:rPr lang="en-US" sz="500" b="0" i="1">
                            <a:latin typeface="Cambria Math" panose="02040503050406030204" pitchFamily="18" charset="0"/>
                          </a:rPr>
                          <m:t>𝑖</m:t>
                        </m:r>
                        <m:r>
                          <a:rPr lang="en-US" sz="500" b="0" i="1">
                            <a:latin typeface="Cambria Math" panose="02040503050406030204" pitchFamily="18" charset="0"/>
                          </a:rPr>
                          <m:t>=</m:t>
                        </m:r>
                        <m:r>
                          <m:rPr>
                            <m:brk m:alnAt="23"/>
                          </m:rPr>
                          <a:rPr lang="en-US" sz="500" b="0" i="1">
                            <a:latin typeface="Cambria Math" panose="02040503050406030204" pitchFamily="18" charset="0"/>
                          </a:rPr>
                          <m:t>1</m:t>
                        </m:r>
                      </m:sub>
                      <m:sup>
                        <m:r>
                          <a:rPr lang="en-US" sz="500" b="0" i="1">
                            <a:latin typeface="Cambria Math" panose="02040503050406030204" pitchFamily="18" charset="0"/>
                          </a:rPr>
                          <m:t>𝑛</m:t>
                        </m:r>
                        <m:r>
                          <a:rPr lang="en-US" sz="500" b="0" i="1">
                            <a:latin typeface="Cambria Math" panose="02040503050406030204" pitchFamily="18" charset="0"/>
                          </a:rPr>
                          <m:t>−</m:t>
                        </m:r>
                        <m:r>
                          <a:rPr lang="en-US" sz="500" b="0" i="1">
                            <a:latin typeface="Cambria Math" panose="02040503050406030204" pitchFamily="18" charset="0"/>
                          </a:rPr>
                          <m:t>1</m:t>
                        </m:r>
                      </m:sup>
                      <m:e>
                        <m:nary>
                          <m:naryPr>
                            <m:chr m:val="∑"/>
                            <m:ctrlPr>
                              <a:rPr lang="en-US" sz="500" i="1">
                                <a:latin typeface="Cambria Math" panose="02040503050406030204" pitchFamily="18" charset="0"/>
                              </a:rPr>
                            </m:ctrlPr>
                          </m:naryPr>
                          <m:sub>
                            <m:r>
                              <m:rPr>
                                <m:brk m:alnAt="23"/>
                              </m:rPr>
                              <a:rPr lang="en-US" sz="500" b="0" i="1">
                                <a:latin typeface="Cambria Math" panose="02040503050406030204" pitchFamily="18" charset="0"/>
                              </a:rPr>
                              <m:t>𝑗</m:t>
                            </m:r>
                            <m:r>
                              <a:rPr lang="en-US" sz="500" b="0" i="1">
                                <a:latin typeface="Cambria Math" panose="02040503050406030204" pitchFamily="18" charset="0"/>
                              </a:rPr>
                              <m:t>=</m:t>
                            </m:r>
                            <m:r>
                              <a:rPr lang="en-US" sz="500" b="0" i="1">
                                <a:latin typeface="Cambria Math" panose="02040503050406030204" pitchFamily="18" charset="0"/>
                              </a:rPr>
                              <m:t>𝑖</m:t>
                            </m:r>
                            <m:r>
                              <a:rPr lang="en-US" sz="500" b="0" i="1">
                                <a:latin typeface="Cambria Math" panose="02040503050406030204" pitchFamily="18" charset="0"/>
                              </a:rPr>
                              <m:t>+</m:t>
                            </m:r>
                            <m:r>
                              <m:rPr>
                                <m:brk m:alnAt="23"/>
                              </m:rPr>
                              <a:rPr lang="en-US" sz="500" b="0" i="1">
                                <a:latin typeface="Cambria Math" panose="02040503050406030204" pitchFamily="18" charset="0"/>
                              </a:rPr>
                              <m:t>1</m:t>
                            </m:r>
                          </m:sub>
                          <m:sup>
                            <m:r>
                              <a:rPr lang="en-US" sz="500" b="0" i="1">
                                <a:latin typeface="Cambria Math" panose="02040503050406030204" pitchFamily="18" charset="0"/>
                              </a:rPr>
                              <m:t>𝑛</m:t>
                            </m:r>
                          </m:sup>
                          <m:e>
                            <m:sSub>
                              <m:sSubPr>
                                <m:ctrlPr>
                                  <a:rPr lang="en-US" sz="500" i="1">
                                    <a:latin typeface="Cambria Math" panose="02040503050406030204" pitchFamily="18" charset="0"/>
                                  </a:rPr>
                                </m:ctrlPr>
                              </m:sSubPr>
                              <m:e>
                                <m:r>
                                  <a:rPr lang="en-US" sz="500" b="0" i="1">
                                    <a:latin typeface="Cambria Math" panose="02040503050406030204" pitchFamily="18" charset="0"/>
                                  </a:rPr>
                                  <m:t>𝑧</m:t>
                                </m:r>
                              </m:e>
                              <m:sub>
                                <m:r>
                                  <a:rPr lang="en-US" sz="500" b="0" i="1">
                                    <a:latin typeface="Cambria Math" panose="02040503050406030204" pitchFamily="18" charset="0"/>
                                  </a:rPr>
                                  <m:t>𝑖𝑗</m:t>
                                </m:r>
                              </m:sub>
                            </m:sSub>
                            <m:r>
                              <a:rPr lang="en-US" sz="500" i="1">
                                <a:latin typeface="Cambria Math" panose="02040503050406030204" pitchFamily="18" charset="0"/>
                                <a:ea typeface="Cambria Math" panose="02040503050406030204" pitchFamily="18" charset="0"/>
                              </a:rPr>
                              <m:t>≤</m:t>
                            </m:r>
                            <m:sSup>
                              <m:sSupPr>
                                <m:ctrlPr>
                                  <a:rPr lang="en-US" sz="500" i="1">
                                    <a:latin typeface="Cambria Math" panose="02040503050406030204" pitchFamily="18" charset="0"/>
                                    <a:ea typeface="Cambria Math" panose="02040503050406030204" pitchFamily="18" charset="0"/>
                                  </a:rPr>
                                </m:ctrlPr>
                              </m:sSupPr>
                              <m:e>
                                <m:r>
                                  <a:rPr lang="en-US" sz="500" b="0" i="1">
                                    <a:latin typeface="Cambria Math" panose="02040503050406030204" pitchFamily="18" charset="0"/>
                                    <a:ea typeface="Cambria Math" panose="02040503050406030204" pitchFamily="18" charset="0"/>
                                  </a:rPr>
                                  <m:t>𝑧</m:t>
                                </m:r>
                              </m:e>
                              <m:sup>
                                <m:r>
                                  <a:rPr lang="en-US" sz="500" b="0" i="1">
                                    <a:latin typeface="Cambria Math" panose="02040503050406030204" pitchFamily="18" charset="0"/>
                                    <a:ea typeface="Cambria Math" panose="02040503050406030204" pitchFamily="18" charset="0"/>
                                  </a:rPr>
                                  <m:t>∗</m:t>
                                </m:r>
                              </m:sup>
                            </m:sSup>
                          </m:e>
                        </m:nary>
                      </m:e>
                    </m:nary>
                  </m:oMath>
                </m:oMathPara>
              </a14:m>
              <a:endParaRPr lang="en-US" sz="500"/>
            </a:p>
          </xdr:txBody>
        </xdr:sp>
      </mc:Choice>
      <mc:Fallback xmlns="">
        <xdr:sp macro="" textlink="">
          <xdr:nvSpPr>
            <xdr:cNvPr id="3" name="TextBox 2">
              <a:extLst>
                <a:ext uri="{FF2B5EF4-FFF2-40B4-BE49-F238E27FC236}">
                  <a16:creationId xmlns:a16="http://schemas.microsoft.com/office/drawing/2014/main" id="{9A27D640-A351-42BD-887F-BFCB1631EF36}"/>
                </a:ext>
              </a:extLst>
            </xdr:cNvPr>
            <xdr:cNvSpPr txBox="1"/>
          </xdr:nvSpPr>
          <xdr:spPr>
            <a:xfrm>
              <a:off x="7568713" y="8220808"/>
              <a:ext cx="915864" cy="249115"/>
            </a:xfrm>
            <a:prstGeom prst="rect">
              <a:avLst/>
            </a:prstGeom>
            <a:solidFill>
              <a:srgbClr val="C3E6E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500" i="0">
                  <a:latin typeface="Cambria Math" panose="02040503050406030204" pitchFamily="18" charset="0"/>
                </a:rPr>
                <a:t>∑24_(</a:t>
              </a:r>
              <a:r>
                <a:rPr lang="en-US" sz="500" b="0" i="0">
                  <a:latin typeface="Cambria Math" panose="02040503050406030204" pitchFamily="18" charset="0"/>
                </a:rPr>
                <a:t>𝑖=1)^(𝑛−1)▒∑24_(𝑗=𝑖+1)^𝑛▒〖𝑧_𝑖𝑗</a:t>
              </a:r>
              <a:r>
                <a:rPr lang="en-US" sz="500" i="0">
                  <a:latin typeface="Cambria Math" panose="02040503050406030204" pitchFamily="18" charset="0"/>
                  <a:ea typeface="Cambria Math" panose="02040503050406030204" pitchFamily="18" charset="0"/>
                </a:rPr>
                <a:t>≤</a:t>
              </a:r>
              <a:r>
                <a:rPr lang="en-US" sz="500" b="0" i="0">
                  <a:latin typeface="Cambria Math" panose="02040503050406030204" pitchFamily="18" charset="0"/>
                  <a:ea typeface="Cambria Math" panose="02040503050406030204" pitchFamily="18" charset="0"/>
                </a:rPr>
                <a:t>𝑧^∗ 〗</a:t>
              </a:r>
              <a:endParaRPr lang="en-US" sz="500"/>
            </a:p>
          </xdr:txBody>
        </xdr:sp>
      </mc:Fallback>
    </mc:AlternateContent>
    <xdr:clientData/>
  </xdr:oneCellAnchor>
  <xdr:twoCellAnchor editAs="oneCell">
    <xdr:from>
      <xdr:col>12</xdr:col>
      <xdr:colOff>0</xdr:colOff>
      <xdr:row>1</xdr:row>
      <xdr:rowOff>47625</xdr:rowOff>
    </xdr:from>
    <xdr:to>
      <xdr:col>21</xdr:col>
      <xdr:colOff>362168</xdr:colOff>
      <xdr:row>23</xdr:row>
      <xdr:rowOff>0</xdr:rowOff>
    </xdr:to>
    <xdr:pic>
      <xdr:nvPicPr>
        <xdr:cNvPr id="5" name="Picture 4">
          <a:extLst>
            <a:ext uri="{FF2B5EF4-FFF2-40B4-BE49-F238E27FC236}">
              <a16:creationId xmlns:a16="http://schemas.microsoft.com/office/drawing/2014/main" id="{828A7C62-E182-4127-9827-C8D234FDAD9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45786"/>
        <a:stretch/>
      </xdr:blipFill>
      <xdr:spPr>
        <a:xfrm>
          <a:off x="11977688" y="297656"/>
          <a:ext cx="7113011" cy="5453063"/>
        </a:xfrm>
        <a:prstGeom prst="rect">
          <a:avLst/>
        </a:prstGeom>
        <a:ln w="38100">
          <a:solidFill>
            <a:srgbClr val="264653"/>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03FB4-C462-4FF1-86ED-244D1B29C13E}">
  <sheetPr>
    <tabColor rgb="FF207A6F"/>
  </sheetPr>
  <dimension ref="A1:U54"/>
  <sheetViews>
    <sheetView showGridLines="0" tabSelected="1" zoomScale="80" zoomScaleNormal="80" workbookViewId="0">
      <selection activeCell="E4" sqref="E4"/>
    </sheetView>
  </sheetViews>
  <sheetFormatPr defaultColWidth="8.90625" defaultRowHeight="19.95" customHeight="1" x14ac:dyDescent="0.25"/>
  <cols>
    <col min="1" max="1" width="10.6328125" style="2" customWidth="1"/>
    <col min="2" max="5" width="16.6328125" style="2" customWidth="1"/>
    <col min="6" max="6" width="7.6328125" style="2" customWidth="1"/>
    <col min="7" max="7" width="3.1796875" style="2" customWidth="1"/>
    <col min="8" max="12" width="10.6328125" style="2" customWidth="1"/>
    <col min="13" max="13" width="3" style="2" customWidth="1"/>
    <col min="14" max="15" width="10.6328125" style="2" customWidth="1"/>
    <col min="16" max="16" width="3.1796875" style="2" customWidth="1"/>
    <col min="17" max="21" width="10.6328125" style="2" customWidth="1"/>
    <col min="22" max="16384" width="8.90625" style="2"/>
  </cols>
  <sheetData>
    <row r="1" spans="1:21" ht="19.95" customHeight="1" x14ac:dyDescent="0.25">
      <c r="A1" s="127" t="s">
        <v>0</v>
      </c>
      <c r="B1" s="128">
        <f>_xlfn.CEILING.MATH(AVERAGE(4,0,1,2,5,0,2,0))</f>
        <v>2</v>
      </c>
      <c r="C1" s="125"/>
      <c r="D1" s="126"/>
      <c r="H1" s="6"/>
      <c r="I1" s="7"/>
      <c r="J1" s="7"/>
      <c r="K1" s="7"/>
      <c r="L1" s="7"/>
      <c r="M1" s="7"/>
      <c r="N1" s="7"/>
      <c r="O1" s="8"/>
    </row>
    <row r="2" spans="1:21" ht="19.95" customHeight="1" x14ac:dyDescent="0.25">
      <c r="A2" s="127"/>
      <c r="B2" s="128"/>
      <c r="C2" s="125"/>
      <c r="D2" s="126"/>
      <c r="H2" s="9"/>
      <c r="O2" s="10"/>
    </row>
    <row r="3" spans="1:21" ht="19.95" customHeight="1" x14ac:dyDescent="0.25">
      <c r="A3" s="127" t="s">
        <v>1</v>
      </c>
      <c r="B3" s="128">
        <f>_xlfn.CEILING.MATH(AVERAGE(0,2,0))</f>
        <v>1</v>
      </c>
      <c r="C3" s="125"/>
      <c r="D3" s="126"/>
      <c r="H3" s="9"/>
      <c r="O3" s="10"/>
    </row>
    <row r="4" spans="1:21" ht="19.95" customHeight="1" x14ac:dyDescent="0.25">
      <c r="A4" s="127"/>
      <c r="B4" s="128"/>
      <c r="C4" s="125"/>
      <c r="D4" s="126"/>
      <c r="H4" s="9"/>
      <c r="O4" s="10"/>
    </row>
    <row r="5" spans="1:21" ht="19.95" customHeight="1" x14ac:dyDescent="0.25">
      <c r="H5" s="9"/>
      <c r="O5" s="10"/>
    </row>
    <row r="6" spans="1:21" ht="19.95" customHeight="1" x14ac:dyDescent="0.25">
      <c r="H6" s="69" t="s">
        <v>8</v>
      </c>
      <c r="I6" s="12">
        <f t="array" ref="I6:L9">B9:E12</f>
        <v>1</v>
      </c>
      <c r="J6" s="12">
        <v>0.5</v>
      </c>
      <c r="K6" s="12">
        <v>1.5</v>
      </c>
      <c r="L6" s="12">
        <v>1</v>
      </c>
      <c r="M6" s="23"/>
      <c r="N6" s="11" t="s">
        <v>21</v>
      </c>
      <c r="O6" s="13">
        <f>SUM(I6:L6)/SUM($I$6:$L$9)</f>
        <v>0.21052631578947367</v>
      </c>
      <c r="Q6" s="11" t="s">
        <v>17</v>
      </c>
      <c r="R6" s="13" cm="1">
        <f t="array" ref="R6:U6">TRANSPOSE(O51:O54)</f>
        <v>0.21631481289947549</v>
      </c>
      <c r="S6" s="13">
        <v>0.31050012890939843</v>
      </c>
      <c r="T6" s="13">
        <v>0.13063993116747782</v>
      </c>
      <c r="U6" s="13">
        <v>0.34254512702364803</v>
      </c>
    </row>
    <row r="7" spans="1:21" ht="19.95" customHeight="1" x14ac:dyDescent="0.25">
      <c r="H7" s="71"/>
      <c r="I7" s="12">
        <v>2</v>
      </c>
      <c r="J7" s="12">
        <v>1</v>
      </c>
      <c r="K7" s="12">
        <v>3</v>
      </c>
      <c r="L7" s="12">
        <v>0.5</v>
      </c>
      <c r="M7" s="20"/>
      <c r="N7" s="11" t="s">
        <v>22</v>
      </c>
      <c r="O7" s="13">
        <f t="shared" ref="O7:O9" si="0">SUM(I7:L7)/SUM($I$6:$L$9)</f>
        <v>0.34210526315789475</v>
      </c>
      <c r="Q7" s="24"/>
      <c r="R7" s="20"/>
      <c r="S7" s="20"/>
      <c r="T7" s="20"/>
      <c r="U7" s="25"/>
    </row>
    <row r="8" spans="1:21" ht="19.95" customHeight="1" x14ac:dyDescent="0.25">
      <c r="A8" s="11" t="s">
        <v>2</v>
      </c>
      <c r="B8" s="18" t="s">
        <v>3</v>
      </c>
      <c r="C8" s="18" t="s">
        <v>4</v>
      </c>
      <c r="D8" s="18" t="s">
        <v>5</v>
      </c>
      <c r="E8" s="18" t="s">
        <v>6</v>
      </c>
      <c r="H8" s="71"/>
      <c r="I8" s="12">
        <v>0.66666666666666663</v>
      </c>
      <c r="J8" s="12">
        <v>0.33333333333333331</v>
      </c>
      <c r="K8" s="12">
        <v>1</v>
      </c>
      <c r="L8" s="12">
        <v>0.5</v>
      </c>
      <c r="M8" s="20"/>
      <c r="N8" s="11" t="s">
        <v>23</v>
      </c>
      <c r="O8" s="13">
        <f t="shared" si="0"/>
        <v>0.13157894736842105</v>
      </c>
      <c r="Q8" s="24"/>
      <c r="R8" s="19" t="s">
        <v>41</v>
      </c>
      <c r="S8" s="15" t="e">
        <f ca="1">SUMPRODUCT(B9:E9,_xlfn.ANCHORARRAY($R$6))/R6</f>
        <v>#NAME?</v>
      </c>
      <c r="T8" s="20"/>
      <c r="U8" s="25"/>
    </row>
    <row r="9" spans="1:21" ht="19.95" customHeight="1" x14ac:dyDescent="0.25">
      <c r="A9" s="18" t="s">
        <v>3</v>
      </c>
      <c r="B9" s="45">
        <v>1</v>
      </c>
      <c r="C9" s="50">
        <f>1/B1</f>
        <v>0.5</v>
      </c>
      <c r="D9" s="50">
        <f>(3/2)*B3</f>
        <v>1.5</v>
      </c>
      <c r="E9" s="45">
        <v>1</v>
      </c>
      <c r="H9" s="71"/>
      <c r="I9" s="12">
        <v>1</v>
      </c>
      <c r="J9" s="12">
        <v>2</v>
      </c>
      <c r="K9" s="12">
        <v>2</v>
      </c>
      <c r="L9" s="12">
        <v>1</v>
      </c>
      <c r="M9" s="22"/>
      <c r="N9" s="11" t="s">
        <v>24</v>
      </c>
      <c r="O9" s="13">
        <f t="shared" si="0"/>
        <v>0.31578947368421051</v>
      </c>
      <c r="Q9" s="24"/>
      <c r="R9" s="19" t="s">
        <v>42</v>
      </c>
      <c r="S9" s="15" t="e">
        <f ca="1">SUMPRODUCT(B10:E10,_xlfn.ANCHORARRAY($R$6))/S6</f>
        <v>#NAME?</v>
      </c>
      <c r="T9" s="20"/>
      <c r="U9" s="25"/>
    </row>
    <row r="10" spans="1:21" ht="19.95" customHeight="1" x14ac:dyDescent="0.25">
      <c r="A10" s="18" t="s">
        <v>4</v>
      </c>
      <c r="B10" s="45">
        <f>1/C9</f>
        <v>2</v>
      </c>
      <c r="C10" s="45">
        <v>1</v>
      </c>
      <c r="D10" s="45">
        <f>(3/2)*B1</f>
        <v>3</v>
      </c>
      <c r="E10" s="50">
        <f>(1/2)*B3</f>
        <v>0.5</v>
      </c>
      <c r="H10" s="24"/>
      <c r="I10" s="20"/>
      <c r="J10" s="20"/>
      <c r="K10" s="20"/>
      <c r="L10" s="20"/>
      <c r="M10" s="20"/>
      <c r="N10" s="20"/>
      <c r="O10" s="26"/>
      <c r="Q10" s="24"/>
      <c r="R10" s="19" t="s">
        <v>43</v>
      </c>
      <c r="S10" s="15" t="e">
        <f ca="1">SUMPRODUCT(B11:E11,_xlfn.ANCHORARRAY($R$6))/T6</f>
        <v>#NAME?</v>
      </c>
      <c r="T10" s="20"/>
      <c r="U10" s="25"/>
    </row>
    <row r="11" spans="1:21" ht="19.95" customHeight="1" x14ac:dyDescent="0.25">
      <c r="A11" s="18" t="s">
        <v>5</v>
      </c>
      <c r="B11" s="50">
        <f>1/D9</f>
        <v>0.66666666666666663</v>
      </c>
      <c r="C11" s="50">
        <f>1/D10</f>
        <v>0.33333333333333331</v>
      </c>
      <c r="D11" s="45">
        <v>1</v>
      </c>
      <c r="E11" s="50">
        <f>1/B1</f>
        <v>0.5</v>
      </c>
      <c r="H11" s="69" t="s">
        <v>9</v>
      </c>
      <c r="I11" s="12">
        <f t="array" ref="I11:L14">MMULT(B9:E12,$B$9:$E$12)</f>
        <v>4</v>
      </c>
      <c r="J11" s="12">
        <v>3.5</v>
      </c>
      <c r="K11" s="12">
        <v>6.5</v>
      </c>
      <c r="L11" s="12">
        <v>3</v>
      </c>
      <c r="M11" s="23"/>
      <c r="N11" s="11" t="s">
        <v>21</v>
      </c>
      <c r="O11" s="13">
        <f>SUM(I11:L11)/SUM($I$11:$L$14)</f>
        <v>0.21161825726141076</v>
      </c>
      <c r="Q11" s="24"/>
      <c r="R11" s="19" t="s">
        <v>44</v>
      </c>
      <c r="S11" s="15" t="e">
        <f ca="1">SUMPRODUCT(B12:E12,_xlfn.ANCHORARRAY($R$6))/U6</f>
        <v>#NAME?</v>
      </c>
      <c r="T11" s="20"/>
      <c r="U11" s="25"/>
    </row>
    <row r="12" spans="1:21" ht="19.95" customHeight="1" x14ac:dyDescent="0.25">
      <c r="A12" s="18" t="s">
        <v>6</v>
      </c>
      <c r="B12" s="45">
        <f>1/E9</f>
        <v>1</v>
      </c>
      <c r="C12" s="45">
        <f>1/E10</f>
        <v>2</v>
      </c>
      <c r="D12" s="45">
        <f>1/E11</f>
        <v>2</v>
      </c>
      <c r="E12" s="45">
        <v>1</v>
      </c>
      <c r="H12" s="71"/>
      <c r="I12" s="12">
        <v>6.5</v>
      </c>
      <c r="J12" s="12">
        <v>4</v>
      </c>
      <c r="K12" s="12">
        <v>10</v>
      </c>
      <c r="L12" s="12">
        <v>4.5</v>
      </c>
      <c r="M12" s="20"/>
      <c r="N12" s="11" t="s">
        <v>22</v>
      </c>
      <c r="O12" s="13">
        <f t="shared" ref="O12:O14" si="1">SUM(I12:L12)/SUM($I$11:$L$14)</f>
        <v>0.31120331950207464</v>
      </c>
      <c r="Q12" s="24"/>
      <c r="R12" s="19" t="s">
        <v>45</v>
      </c>
      <c r="S12" s="15" t="e">
        <f ca="1">SUM(S8:S11)/4</f>
        <v>#NAME?</v>
      </c>
      <c r="T12" s="20"/>
      <c r="U12" s="25"/>
    </row>
    <row r="13" spans="1:21" ht="19.95" customHeight="1" x14ac:dyDescent="0.25">
      <c r="H13" s="71"/>
      <c r="I13" s="12">
        <v>2.5</v>
      </c>
      <c r="J13" s="12">
        <v>2</v>
      </c>
      <c r="K13" s="12">
        <v>4</v>
      </c>
      <c r="L13" s="12">
        <v>1.8333333333333333</v>
      </c>
      <c r="M13" s="20"/>
      <c r="N13" s="11" t="s">
        <v>23</v>
      </c>
      <c r="O13" s="13">
        <f t="shared" si="1"/>
        <v>0.12863070539419086</v>
      </c>
      <c r="Q13" s="24"/>
      <c r="R13" s="20"/>
      <c r="S13" s="20"/>
      <c r="T13" s="20"/>
      <c r="U13" s="25"/>
    </row>
    <row r="14" spans="1:21" ht="19.95" customHeight="1" x14ac:dyDescent="0.25">
      <c r="H14" s="71"/>
      <c r="I14" s="12">
        <v>7.333333333333333</v>
      </c>
      <c r="J14" s="12">
        <v>5.1666666666666661</v>
      </c>
      <c r="K14" s="12">
        <v>11.5</v>
      </c>
      <c r="L14" s="12">
        <v>4</v>
      </c>
      <c r="M14" s="22"/>
      <c r="N14" s="11" t="s">
        <v>24</v>
      </c>
      <c r="O14" s="13">
        <f t="shared" si="1"/>
        <v>0.34854771784232363</v>
      </c>
      <c r="Q14" s="24"/>
      <c r="R14" s="11" t="s">
        <v>18</v>
      </c>
      <c r="S14" s="16" t="e">
        <f ca="1">(S12-4)/(4-1)</f>
        <v>#NAME?</v>
      </c>
      <c r="T14" s="20"/>
      <c r="U14" s="25"/>
    </row>
    <row r="15" spans="1:21" ht="19.95" customHeight="1" x14ac:dyDescent="0.25">
      <c r="B15" s="49"/>
      <c r="H15" s="24"/>
      <c r="I15" s="20"/>
      <c r="J15" s="20"/>
      <c r="K15" s="20"/>
      <c r="L15" s="20"/>
      <c r="M15" s="20"/>
      <c r="N15" s="20"/>
      <c r="O15" s="26"/>
      <c r="Q15" s="24"/>
      <c r="R15" s="11" t="s">
        <v>19</v>
      </c>
      <c r="S15" s="17">
        <v>0.9</v>
      </c>
      <c r="T15" s="20"/>
      <c r="U15" s="25"/>
    </row>
    <row r="16" spans="1:21" ht="19.95" customHeight="1" x14ac:dyDescent="0.25">
      <c r="H16" s="69" t="s">
        <v>10</v>
      </c>
      <c r="I16" s="12">
        <f t="array" ref="I16:L19">MMULT(I11:L14,$B$9:$E$12)</f>
        <v>18.333333333333332</v>
      </c>
      <c r="J16" s="12">
        <v>13.666666666666666</v>
      </c>
      <c r="K16" s="12">
        <v>29</v>
      </c>
      <c r="L16" s="12">
        <v>12</v>
      </c>
      <c r="M16" s="23"/>
      <c r="N16" s="11" t="s">
        <v>21</v>
      </c>
      <c r="O16" s="13">
        <f>SUM(I16:L16)/SUM($I$16:$L$19)</f>
        <v>0.21683168316831683</v>
      </c>
      <c r="Q16" s="28"/>
      <c r="R16" s="11" t="s">
        <v>20</v>
      </c>
      <c r="S16" s="16" t="e">
        <f ca="1">S14/S15</f>
        <v>#NAME?</v>
      </c>
      <c r="T16" s="22"/>
      <c r="U16" s="27"/>
    </row>
    <row r="17" spans="8:15" ht="19.95" customHeight="1" x14ac:dyDescent="0.25">
      <c r="H17" s="69"/>
      <c r="I17" s="12">
        <v>25.666666666666664</v>
      </c>
      <c r="J17" s="12">
        <v>19.583333333333332</v>
      </c>
      <c r="K17" s="12">
        <v>40.75</v>
      </c>
      <c r="L17" s="12">
        <v>18</v>
      </c>
      <c r="M17" s="20"/>
      <c r="N17" s="11" t="s">
        <v>22</v>
      </c>
      <c r="O17" s="13">
        <f t="shared" ref="O17:O19" si="2">SUM(I17:L17)/SUM($I$16:$L$19)</f>
        <v>0.30891089108910891</v>
      </c>
    </row>
    <row r="18" spans="8:15" ht="19.95" customHeight="1" x14ac:dyDescent="0.25">
      <c r="H18" s="69"/>
      <c r="I18" s="12">
        <v>11</v>
      </c>
      <c r="J18" s="12">
        <v>8.25</v>
      </c>
      <c r="K18" s="12">
        <v>17.416666666666668</v>
      </c>
      <c r="L18" s="12">
        <v>7.333333333333333</v>
      </c>
      <c r="M18" s="20"/>
      <c r="N18" s="11" t="s">
        <v>23</v>
      </c>
      <c r="O18" s="13">
        <f t="shared" si="2"/>
        <v>0.1306930693069307</v>
      </c>
    </row>
    <row r="19" spans="8:15" ht="19.95" customHeight="1" x14ac:dyDescent="0.25">
      <c r="H19" s="69"/>
      <c r="I19" s="12">
        <v>29.333333333333329</v>
      </c>
      <c r="J19" s="12">
        <v>20.666666666666664</v>
      </c>
      <c r="K19" s="12">
        <v>46</v>
      </c>
      <c r="L19" s="12">
        <v>19.666666666666664</v>
      </c>
      <c r="M19" s="22"/>
      <c r="N19" s="11" t="s">
        <v>24</v>
      </c>
      <c r="O19" s="13">
        <f t="shared" si="2"/>
        <v>0.34356435643564354</v>
      </c>
    </row>
    <row r="20" spans="8:15" ht="19.95" customHeight="1" x14ac:dyDescent="0.25">
      <c r="H20" s="24"/>
      <c r="I20" s="20"/>
      <c r="J20" s="20"/>
      <c r="K20" s="20"/>
      <c r="L20" s="20"/>
      <c r="M20" s="20"/>
      <c r="N20" s="20"/>
      <c r="O20" s="26"/>
    </row>
    <row r="21" spans="8:15" ht="19.95" customHeight="1" x14ac:dyDescent="0.25">
      <c r="H21" s="69" t="s">
        <v>11</v>
      </c>
      <c r="I21" s="12">
        <f t="array" ref="I21:L24">MMULT(I16:L19,$B$9:$E$12)</f>
        <v>77</v>
      </c>
      <c r="J21" s="12">
        <v>56.5</v>
      </c>
      <c r="K21" s="12">
        <v>121.5</v>
      </c>
      <c r="L21" s="12">
        <v>51.666666666666664</v>
      </c>
      <c r="M21" s="23"/>
      <c r="N21" s="11" t="s">
        <v>21</v>
      </c>
      <c r="O21" s="13">
        <f>SUM(I21:L21)/SUM($I$21:$L$24)</f>
        <v>0.2165215344787009</v>
      </c>
    </row>
    <row r="22" spans="8:15" ht="19.95" customHeight="1" x14ac:dyDescent="0.25">
      <c r="H22" s="69"/>
      <c r="I22" s="12">
        <v>110</v>
      </c>
      <c r="J22" s="12">
        <v>82</v>
      </c>
      <c r="K22" s="12">
        <v>174</v>
      </c>
      <c r="L22" s="12">
        <v>73.833333333333329</v>
      </c>
      <c r="M22" s="20"/>
      <c r="N22" s="11" t="s">
        <v>22</v>
      </c>
      <c r="O22" s="13">
        <f t="shared" ref="O22:O24" si="3">SUM(I22:L22)/SUM($I$21:$L$24)</f>
        <v>0.31054365733113676</v>
      </c>
    </row>
    <row r="23" spans="8:15" ht="19.95" customHeight="1" x14ac:dyDescent="0.25">
      <c r="H23" s="69"/>
      <c r="I23" s="12">
        <v>46.44444444444445</v>
      </c>
      <c r="J23" s="12">
        <v>34.222222222222221</v>
      </c>
      <c r="K23" s="12">
        <v>73.333333333333343</v>
      </c>
      <c r="L23" s="12">
        <v>31.166666666666668</v>
      </c>
      <c r="M23" s="20"/>
      <c r="N23" s="11" t="s">
        <v>23</v>
      </c>
      <c r="O23" s="13">
        <f t="shared" si="3"/>
        <v>0.13073664391621559</v>
      </c>
    </row>
    <row r="24" spans="8:15" ht="19.95" customHeight="1" x14ac:dyDescent="0.25">
      <c r="H24" s="69"/>
      <c r="I24" s="12">
        <v>120.99999999999997</v>
      </c>
      <c r="J24" s="12">
        <v>89.999999999999986</v>
      </c>
      <c r="K24" s="12">
        <v>191.33333333333331</v>
      </c>
      <c r="L24" s="12">
        <v>82.333333333333314</v>
      </c>
      <c r="M24" s="22"/>
      <c r="N24" s="11" t="s">
        <v>24</v>
      </c>
      <c r="O24" s="13">
        <f t="shared" si="3"/>
        <v>0.34219816427394678</v>
      </c>
    </row>
    <row r="25" spans="8:15" ht="19.95" customHeight="1" x14ac:dyDescent="0.25">
      <c r="H25" s="24"/>
      <c r="I25" s="20"/>
      <c r="J25" s="20"/>
      <c r="K25" s="20"/>
      <c r="L25" s="20"/>
      <c r="M25" s="20"/>
      <c r="N25" s="20"/>
      <c r="O25" s="26"/>
    </row>
    <row r="26" spans="8:15" ht="19.95" customHeight="1" x14ac:dyDescent="0.25">
      <c r="H26" s="69" t="s">
        <v>12</v>
      </c>
      <c r="I26" s="12">
        <f t="array" ref="I26:L29">MMULT(I21:L24,$B$9:$E$12)</f>
        <v>322.66666666666669</v>
      </c>
      <c r="J26" s="12">
        <v>238.83333333333331</v>
      </c>
      <c r="K26" s="12">
        <v>509.83333333333331</v>
      </c>
      <c r="L26" s="12">
        <v>217.66666666666666</v>
      </c>
      <c r="M26" s="23"/>
      <c r="N26" s="11" t="s">
        <v>21</v>
      </c>
      <c r="O26" s="13">
        <f>SUM(I26:L26)/SUM($I$26:$L$29)</f>
        <v>0.21627919983594027</v>
      </c>
    </row>
    <row r="27" spans="8:15" ht="19.95" customHeight="1" x14ac:dyDescent="0.25">
      <c r="H27" s="69"/>
      <c r="I27" s="12">
        <v>463.83333333333331</v>
      </c>
      <c r="J27" s="12">
        <v>342.66666666666663</v>
      </c>
      <c r="K27" s="12">
        <v>732.66666666666663</v>
      </c>
      <c r="L27" s="12">
        <v>311.83333333333331</v>
      </c>
      <c r="M27" s="20"/>
      <c r="N27" s="11" t="s">
        <v>22</v>
      </c>
      <c r="O27" s="13">
        <f t="shared" ref="O27:O29" si="4">SUM(I27:L27)/SUM($I$26:$L$29)</f>
        <v>0.31057625981095843</v>
      </c>
    </row>
    <row r="28" spans="8:15" ht="19.95" customHeight="1" x14ac:dyDescent="0.25">
      <c r="H28" s="69"/>
      <c r="I28" s="12">
        <v>194.94444444444443</v>
      </c>
      <c r="J28" s="12">
        <v>144.22222222222223</v>
      </c>
      <c r="K28" s="12">
        <v>308</v>
      </c>
      <c r="L28" s="12">
        <v>131.38888888888889</v>
      </c>
      <c r="M28" s="20"/>
      <c r="N28" s="11" t="s">
        <v>23</v>
      </c>
      <c r="O28" s="13">
        <f t="shared" si="4"/>
        <v>0.13063256212830218</v>
      </c>
    </row>
    <row r="29" spans="8:15" ht="19.95" customHeight="1" x14ac:dyDescent="0.25">
      <c r="H29" s="69"/>
      <c r="I29" s="12">
        <v>510.8888888888888</v>
      </c>
      <c r="J29" s="12">
        <v>378.94444444444434</v>
      </c>
      <c r="K29" s="12">
        <v>807.49999999999989</v>
      </c>
      <c r="L29" s="12">
        <v>343.99999999999994</v>
      </c>
      <c r="M29" s="22"/>
      <c r="N29" s="11" t="s">
        <v>24</v>
      </c>
      <c r="O29" s="13">
        <f t="shared" si="4"/>
        <v>0.34251197822479906</v>
      </c>
    </row>
    <row r="30" spans="8:15" ht="19.95" customHeight="1" x14ac:dyDescent="0.25">
      <c r="H30" s="24"/>
      <c r="I30" s="20"/>
      <c r="J30" s="20"/>
      <c r="K30" s="20"/>
      <c r="L30" s="20"/>
      <c r="M30" s="20"/>
      <c r="N30" s="20"/>
      <c r="O30" s="26"/>
    </row>
    <row r="31" spans="8:15" ht="19.95" customHeight="1" x14ac:dyDescent="0.25">
      <c r="H31" s="69" t="s">
        <v>13</v>
      </c>
      <c r="I31" s="12">
        <f t="array" ref="I31:L34">MMULT(I26:L29,$B$9:$E$12)</f>
        <v>1357.8888888888889</v>
      </c>
      <c r="J31" s="12">
        <v>1005.4444444444443</v>
      </c>
      <c r="K31" s="12">
        <v>2145.6666666666665</v>
      </c>
      <c r="L31" s="12">
        <v>914.66666666666663</v>
      </c>
      <c r="M31" s="23"/>
      <c r="N31" s="11" t="s">
        <v>21</v>
      </c>
      <c r="O31" s="13">
        <f>SUM(I31:L31)/SUM($I$31:$L$34)</f>
        <v>0.21630639972348517</v>
      </c>
    </row>
    <row r="32" spans="8:15" ht="19.95" customHeight="1" x14ac:dyDescent="0.25">
      <c r="H32" s="69"/>
      <c r="I32" s="12">
        <v>1949.4444444444441</v>
      </c>
      <c r="J32" s="12">
        <v>1442.4722222222222</v>
      </c>
      <c r="K32" s="12">
        <v>3080.083333333333</v>
      </c>
      <c r="L32" s="12">
        <v>1313.3333333333333</v>
      </c>
      <c r="M32" s="20"/>
      <c r="N32" s="11" t="s">
        <v>22</v>
      </c>
      <c r="O32" s="13">
        <f t="shared" ref="O32:O34" si="5">SUM(I32:L32)/SUM($I$31:$L$34)</f>
        <v>0.31049427029326521</v>
      </c>
    </row>
    <row r="33" spans="8:15" ht="19.95" customHeight="1" x14ac:dyDescent="0.25">
      <c r="H33" s="69"/>
      <c r="I33" s="12">
        <v>820.11111111111109</v>
      </c>
      <c r="J33" s="12">
        <v>607.13888888888891</v>
      </c>
      <c r="K33" s="12">
        <v>1295.8611111111111</v>
      </c>
      <c r="L33" s="12">
        <v>552.44444444444446</v>
      </c>
      <c r="M33" s="20"/>
      <c r="N33" s="11" t="s">
        <v>23</v>
      </c>
      <c r="O33" s="13">
        <f t="shared" si="5"/>
        <v>0.13063554102080066</v>
      </c>
    </row>
    <row r="34" spans="8:15" ht="19.95" customHeight="1" x14ac:dyDescent="0.25">
      <c r="H34" s="69"/>
      <c r="I34" s="12">
        <v>2151.1111111111104</v>
      </c>
      <c r="J34" s="12">
        <v>1591.5555555555552</v>
      </c>
      <c r="K34" s="12">
        <v>3398.6666666666661</v>
      </c>
      <c r="L34" s="12">
        <v>1448.1111111111109</v>
      </c>
      <c r="M34" s="22"/>
      <c r="N34" s="11" t="s">
        <v>24</v>
      </c>
      <c r="O34" s="13">
        <f t="shared" si="5"/>
        <v>0.34256378896244888</v>
      </c>
    </row>
    <row r="35" spans="8:15" ht="19.95" customHeight="1" x14ac:dyDescent="0.25">
      <c r="H35" s="24"/>
      <c r="I35" s="20"/>
      <c r="J35" s="20"/>
      <c r="K35" s="20"/>
      <c r="L35" s="20"/>
      <c r="M35" s="20"/>
      <c r="N35" s="20"/>
      <c r="O35" s="26"/>
    </row>
    <row r="36" spans="8:15" ht="19.95" customHeight="1" x14ac:dyDescent="0.25">
      <c r="H36" s="69" t="s">
        <v>14</v>
      </c>
      <c r="I36" s="12">
        <f t="array" ref="I36:L39">MMULT(I31:L34,$B$9:$E$12)</f>
        <v>5713.8888888888887</v>
      </c>
      <c r="J36" s="12">
        <v>4228.9444444444443</v>
      </c>
      <c r="K36" s="12">
        <v>9028.1666666666661</v>
      </c>
      <c r="L36" s="12">
        <v>3848.1111111111109</v>
      </c>
      <c r="M36" s="21"/>
      <c r="N36" s="11" t="s">
        <v>21</v>
      </c>
      <c r="O36" s="13">
        <f>SUM(I36:L36)/SUM($I$36:$L$39)</f>
        <v>0.21631699078262867</v>
      </c>
    </row>
    <row r="37" spans="8:15" ht="19.95" customHeight="1" x14ac:dyDescent="0.25">
      <c r="H37" s="69"/>
      <c r="I37" s="12">
        <v>8201.1111111111113</v>
      </c>
      <c r="J37" s="12">
        <v>6070.5555555555547</v>
      </c>
      <c r="K37" s="12">
        <v>12958.33333333333</v>
      </c>
      <c r="L37" s="12">
        <v>5524.0555555555547</v>
      </c>
      <c r="M37" s="20"/>
      <c r="N37" s="11" t="s">
        <v>22</v>
      </c>
      <c r="O37" s="13">
        <f t="shared" ref="O37:O39" si="6">SUM(I37:L37)/SUM($I$36:$L$39)</f>
        <v>0.31049670161143372</v>
      </c>
    </row>
    <row r="38" spans="8:15" ht="19.95" customHeight="1" x14ac:dyDescent="0.25">
      <c r="H38" s="69"/>
      <c r="I38" s="12">
        <v>3450.7407407407409</v>
      </c>
      <c r="J38" s="12">
        <v>2554.0370370370374</v>
      </c>
      <c r="K38" s="12">
        <v>5452.333333333333</v>
      </c>
      <c r="L38" s="12">
        <v>2324.0555555555557</v>
      </c>
      <c r="M38" s="20"/>
      <c r="N38" s="11" t="s">
        <v>23</v>
      </c>
      <c r="O38" s="13">
        <f t="shared" si="6"/>
        <v>0.13064051830466097</v>
      </c>
    </row>
    <row r="39" spans="8:15" ht="19.95" customHeight="1" x14ac:dyDescent="0.25">
      <c r="H39" s="69"/>
      <c r="I39" s="12">
        <v>9048.1111111111095</v>
      </c>
      <c r="J39" s="12">
        <v>6696.2222222222208</v>
      </c>
      <c r="K39" s="12">
        <v>14296.222222222219</v>
      </c>
      <c r="L39" s="12">
        <v>6094.3333333333321</v>
      </c>
      <c r="M39" s="22"/>
      <c r="N39" s="11" t="s">
        <v>24</v>
      </c>
      <c r="O39" s="13">
        <f t="shared" si="6"/>
        <v>0.34254578930127666</v>
      </c>
    </row>
    <row r="40" spans="8:15" ht="19.95" customHeight="1" x14ac:dyDescent="0.25">
      <c r="H40" s="24"/>
      <c r="I40" s="20"/>
      <c r="J40" s="20"/>
      <c r="K40" s="20"/>
      <c r="L40" s="20"/>
      <c r="M40" s="20"/>
      <c r="N40" s="20"/>
      <c r="O40" s="26"/>
    </row>
    <row r="41" spans="8:15" ht="19.95" customHeight="1" x14ac:dyDescent="0.25">
      <c r="H41" s="70" t="s">
        <v>15</v>
      </c>
      <c r="I41" s="12">
        <f t="array" ref="I41:L44">MMULT(I36:L39,$B$9:$E$12)</f>
        <v>24038.666666666664</v>
      </c>
      <c r="J41" s="12">
        <v>17791.5</v>
      </c>
      <c r="K41" s="12">
        <v>37982.055555555547</v>
      </c>
      <c r="L41" s="12">
        <v>16190.555555555557</v>
      </c>
      <c r="M41" s="21"/>
      <c r="N41" s="11" t="s">
        <v>21</v>
      </c>
      <c r="O41" s="13">
        <f>SUM(I41:L41)/SUM($I$41:$L$44)</f>
        <v>0.21631512997934968</v>
      </c>
    </row>
    <row r="42" spans="8:15" ht="19.95" customHeight="1" x14ac:dyDescent="0.25">
      <c r="H42" s="67"/>
      <c r="I42" s="12">
        <v>34505.166666666657</v>
      </c>
      <c r="J42" s="12">
        <v>25538.666666666664</v>
      </c>
      <c r="K42" s="12">
        <v>54519.777777777774</v>
      </c>
      <c r="L42" s="14">
        <v>23239.611111111109</v>
      </c>
      <c r="M42" s="20"/>
      <c r="N42" s="11" t="s">
        <v>22</v>
      </c>
      <c r="O42" s="13">
        <f t="shared" ref="O42:O44" si="7">SUM(I42:L42)/SUM($I$41:$L$44)</f>
        <v>0.31050061900889303</v>
      </c>
    </row>
    <row r="43" spans="8:15" ht="19.95" customHeight="1" x14ac:dyDescent="0.25">
      <c r="H43" s="67"/>
      <c r="I43" s="12">
        <v>14517.759259259259</v>
      </c>
      <c r="J43" s="12">
        <v>10744.962962962964</v>
      </c>
      <c r="K43" s="12">
        <v>22938.666666666664</v>
      </c>
      <c r="L43" s="12">
        <v>9777.9814814814818</v>
      </c>
      <c r="M43" s="20"/>
      <c r="N43" s="11" t="s">
        <v>23</v>
      </c>
      <c r="O43" s="13">
        <f t="shared" si="7"/>
        <v>0.13064012654736576</v>
      </c>
    </row>
    <row r="44" spans="8:15" ht="19.95" customHeight="1" x14ac:dyDescent="0.25">
      <c r="H44" s="68"/>
      <c r="I44" s="12">
        <v>38065.703703703693</v>
      </c>
      <c r="J44" s="12">
        <v>28174.351851851847</v>
      </c>
      <c r="K44" s="12">
        <v>60145.722222222212</v>
      </c>
      <c r="L44" s="12">
        <v>25638.666666666661</v>
      </c>
      <c r="M44" s="22"/>
      <c r="N44" s="11" t="s">
        <v>24</v>
      </c>
      <c r="O44" s="13">
        <f t="shared" si="7"/>
        <v>0.34254412446439136</v>
      </c>
    </row>
    <row r="45" spans="8:15" ht="19.95" customHeight="1" x14ac:dyDescent="0.25">
      <c r="H45" s="24"/>
      <c r="I45" s="20"/>
      <c r="J45" s="20"/>
      <c r="K45" s="20"/>
      <c r="L45" s="20"/>
      <c r="M45" s="20"/>
      <c r="N45" s="20"/>
      <c r="O45" s="26"/>
    </row>
    <row r="46" spans="8:15" ht="19.95" customHeight="1" x14ac:dyDescent="0.25">
      <c r="H46" s="70" t="s">
        <v>16</v>
      </c>
      <c r="I46" s="12">
        <f t="array" ref="I46:L49">MMULT(I41:L44,$B$9:$E$12)</f>
        <v>101133.59259259258</v>
      </c>
      <c r="J46" s="12">
        <v>74852.62962962962</v>
      </c>
      <c r="K46" s="12">
        <v>159795.66666666666</v>
      </c>
      <c r="L46" s="12">
        <v>68116</v>
      </c>
      <c r="M46" s="23"/>
      <c r="N46" s="11" t="s">
        <v>21</v>
      </c>
      <c r="O46" s="13">
        <f>SUM(I46:L46)/SUM($I$46:$L$49)</f>
        <v>0.21631470011000567</v>
      </c>
    </row>
    <row r="47" spans="8:15" ht="19.95" customHeight="1" x14ac:dyDescent="0.25">
      <c r="H47" s="67"/>
      <c r="I47" s="12">
        <v>145168.62962962961</v>
      </c>
      <c r="J47" s="12">
        <v>107443.73148148146</v>
      </c>
      <c r="K47" s="12">
        <v>229372.74999999997</v>
      </c>
      <c r="L47" s="12">
        <v>97773.999999999985</v>
      </c>
      <c r="M47" s="20"/>
      <c r="N47" s="11" t="s">
        <v>22</v>
      </c>
      <c r="O47" s="13">
        <f t="shared" ref="O47:O49" si="8">SUM(I47:L47)/SUM($I$46:$L$49)</f>
        <v>0.31050030640428394</v>
      </c>
    </row>
    <row r="48" spans="8:15" ht="19.95" customHeight="1" x14ac:dyDescent="0.25">
      <c r="H48" s="67"/>
      <c r="I48" s="12">
        <v>61078.111111111102</v>
      </c>
      <c r="J48" s="12">
        <v>45206.027777777774</v>
      </c>
      <c r="K48" s="12">
        <v>96506.157407407401</v>
      </c>
      <c r="L48" s="12">
        <v>41137.555555555555</v>
      </c>
      <c r="M48" s="20"/>
      <c r="N48" s="11" t="s">
        <v>23</v>
      </c>
      <c r="O48" s="13">
        <f t="shared" si="8"/>
        <v>0.13063990076047852</v>
      </c>
    </row>
    <row r="49" spans="8:15" ht="19.95" customHeight="1" x14ac:dyDescent="0.25">
      <c r="H49" s="68"/>
      <c r="I49" s="12">
        <v>160150.22222222219</v>
      </c>
      <c r="J49" s="12">
        <v>118533.11111111109</v>
      </c>
      <c r="K49" s="12">
        <v>253044.6666666666</v>
      </c>
      <c r="L49" s="12">
        <v>107864.40740740739</v>
      </c>
      <c r="M49" s="22"/>
      <c r="N49" s="11" t="s">
        <v>24</v>
      </c>
      <c r="O49" s="13">
        <f t="shared" si="8"/>
        <v>0.34254509272523198</v>
      </c>
    </row>
    <row r="50" spans="8:15" ht="19.95" customHeight="1" x14ac:dyDescent="0.25">
      <c r="H50" s="24"/>
      <c r="I50" s="20"/>
      <c r="J50" s="20"/>
      <c r="K50" s="20"/>
      <c r="L50" s="20"/>
      <c r="M50" s="20"/>
      <c r="N50" s="20"/>
      <c r="O50" s="25"/>
    </row>
    <row r="51" spans="8:15" ht="19.95" customHeight="1" x14ac:dyDescent="0.25">
      <c r="H51" s="66" t="s">
        <v>7</v>
      </c>
      <c r="I51" s="12">
        <f t="array" ref="I51:L54">MMULT(I46:L49,$B$9:$E$12)</f>
        <v>425485.29629629629</v>
      </c>
      <c r="J51" s="12">
        <v>314916.64814814815</v>
      </c>
      <c r="K51" s="12">
        <v>672285.94444444438</v>
      </c>
      <c r="L51" s="12">
        <v>286573.74074074073</v>
      </c>
      <c r="M51" s="23"/>
      <c r="N51" s="11" t="s">
        <v>21</v>
      </c>
      <c r="O51" s="1">
        <f>SUM(I51:L51)/SUM($I$51:$L$54)</f>
        <v>0.21631481289947549</v>
      </c>
    </row>
    <row r="52" spans="8:15" ht="19.95" customHeight="1" x14ac:dyDescent="0.25">
      <c r="H52" s="67"/>
      <c r="I52" s="12">
        <v>610745.2592592591</v>
      </c>
      <c r="J52" s="12">
        <v>452033.62962962955</v>
      </c>
      <c r="K52" s="12">
        <v>965004.88888888876</v>
      </c>
      <c r="L52" s="12">
        <v>411350.87037037034</v>
      </c>
      <c r="M52" s="20"/>
      <c r="N52" s="11" t="s">
        <v>22</v>
      </c>
      <c r="O52" s="1">
        <f t="shared" ref="O52:O54" si="9">SUM(I52:L52)/SUM($I$51:$L$54)</f>
        <v>0.31050012890939843</v>
      </c>
    </row>
    <row r="53" spans="8:15" ht="19.95" customHeight="1" x14ac:dyDescent="0.25">
      <c r="H53" s="67"/>
      <c r="I53" s="12">
        <v>256965.16049382713</v>
      </c>
      <c r="J53" s="12">
        <v>190188.91358024691</v>
      </c>
      <c r="K53" s="12">
        <v>406016.51851851848</v>
      </c>
      <c r="L53" s="12">
        <v>173071.75925925924</v>
      </c>
      <c r="M53" s="20"/>
      <c r="N53" s="11" t="s">
        <v>23</v>
      </c>
      <c r="O53" s="1">
        <f t="shared" si="9"/>
        <v>0.13063993116747782</v>
      </c>
    </row>
    <row r="54" spans="8:15" ht="19.95" customHeight="1" x14ac:dyDescent="0.25">
      <c r="H54" s="68"/>
      <c r="I54" s="12">
        <v>673777.29629629618</v>
      </c>
      <c r="J54" s="12">
        <v>498685.25925925915</v>
      </c>
      <c r="K54" s="12">
        <v>1064598.1481481479</v>
      </c>
      <c r="L54" s="12">
        <v>453803.51851851842</v>
      </c>
      <c r="M54" s="22"/>
      <c r="N54" s="11" t="s">
        <v>24</v>
      </c>
      <c r="O54" s="1">
        <f t="shared" si="9"/>
        <v>0.34254512702364803</v>
      </c>
    </row>
  </sheetData>
  <mergeCells count="16">
    <mergeCell ref="C1:C4"/>
    <mergeCell ref="D1:D4"/>
    <mergeCell ref="A1:A2"/>
    <mergeCell ref="A3:A4"/>
    <mergeCell ref="B1:B2"/>
    <mergeCell ref="B3:B4"/>
    <mergeCell ref="H51:H54"/>
    <mergeCell ref="H36:H39"/>
    <mergeCell ref="H41:H44"/>
    <mergeCell ref="H46:H49"/>
    <mergeCell ref="H6:H9"/>
    <mergeCell ref="H11:H14"/>
    <mergeCell ref="H16:H19"/>
    <mergeCell ref="H21:H24"/>
    <mergeCell ref="H26:H29"/>
    <mergeCell ref="H31:H34"/>
  </mergeCells>
  <phoneticPr fontId="5"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0C31-CBFD-46E4-823D-2732C1F85811}">
  <sheetPr>
    <tabColor rgb="FF207A6F"/>
  </sheetPr>
  <dimension ref="A1:T26"/>
  <sheetViews>
    <sheetView showGridLines="0" zoomScale="80" zoomScaleNormal="80" workbookViewId="0">
      <selection sqref="A1:D4"/>
    </sheetView>
  </sheetViews>
  <sheetFormatPr defaultColWidth="8.81640625" defaultRowHeight="19.95" customHeight="1" x14ac:dyDescent="0.25"/>
  <cols>
    <col min="1" max="1" width="10.6328125" style="2" customWidth="1"/>
    <col min="2" max="5" width="16.6328125" style="2" customWidth="1"/>
    <col min="6" max="6" width="7.6328125" style="2" customWidth="1"/>
    <col min="7" max="7" width="3.1796875" style="2" customWidth="1"/>
    <col min="8" max="13" width="10.6328125" style="2" customWidth="1"/>
    <col min="14" max="14" width="3.1796875" style="2" customWidth="1"/>
    <col min="15" max="20" width="16.6328125" style="2" customWidth="1"/>
    <col min="21" max="16384" width="8.81640625" style="2"/>
  </cols>
  <sheetData>
    <row r="1" spans="1:20" ht="19.95" customHeight="1" x14ac:dyDescent="0.25">
      <c r="A1" s="127" t="s">
        <v>0</v>
      </c>
      <c r="B1" s="128">
        <f>_xlfn.CEILING.MATH(AVERAGE(4,0,1,2,5,0,2,0))</f>
        <v>2</v>
      </c>
      <c r="C1" s="125"/>
      <c r="D1" s="126"/>
    </row>
    <row r="2" spans="1:20" ht="19.95" customHeight="1" x14ac:dyDescent="0.25">
      <c r="A2" s="127"/>
      <c r="B2" s="128"/>
      <c r="C2" s="125"/>
      <c r="D2" s="126"/>
    </row>
    <row r="3" spans="1:20" ht="19.95" customHeight="1" x14ac:dyDescent="0.25">
      <c r="A3" s="127" t="s">
        <v>1</v>
      </c>
      <c r="B3" s="128">
        <f>_xlfn.CEILING.MATH(AVERAGE(0,2,0))</f>
        <v>1</v>
      </c>
      <c r="C3" s="125"/>
      <c r="D3" s="126"/>
      <c r="H3" s="75" t="s">
        <v>25</v>
      </c>
      <c r="I3" s="75"/>
      <c r="J3" s="23"/>
      <c r="K3" s="23"/>
      <c r="L3" s="23"/>
      <c r="M3" s="37"/>
      <c r="O3" s="11"/>
      <c r="P3" s="18" t="s">
        <v>30</v>
      </c>
      <c r="Q3" s="18" t="s">
        <v>25</v>
      </c>
      <c r="R3" s="18" t="s">
        <v>26</v>
      </c>
      <c r="S3" s="18" t="s">
        <v>28</v>
      </c>
      <c r="T3" s="18" t="s">
        <v>27</v>
      </c>
    </row>
    <row r="4" spans="1:20" ht="19.95" customHeight="1" x14ac:dyDescent="0.25">
      <c r="A4" s="127"/>
      <c r="B4" s="128"/>
      <c r="C4" s="125"/>
      <c r="D4" s="126"/>
      <c r="H4" s="11" t="s">
        <v>21</v>
      </c>
      <c r="I4" s="13">
        <f>SUM('Q1'!$B9:$E9)/SUM('Q1'!$B$9:$E$12)</f>
        <v>0.21052631578947367</v>
      </c>
      <c r="J4" s="20"/>
      <c r="K4" s="20"/>
      <c r="L4" s="20"/>
      <c r="M4" s="25"/>
      <c r="O4" s="11" t="s">
        <v>21</v>
      </c>
      <c r="P4" s="13" cm="1">
        <f t="array" ref="P4:P7">'Q1'!O51:O54</f>
        <v>0.21631481289947549</v>
      </c>
      <c r="Q4" s="13" cm="1">
        <f t="array" ref="Q4:Q7">I4:I7</f>
        <v>0.21052631578947367</v>
      </c>
      <c r="R4" s="13" cm="1">
        <f t="array" ref="R4:R7">I10:I13</f>
        <v>0.24561403508771926</v>
      </c>
      <c r="S4" s="13" cm="1">
        <f t="array" ref="S4:S7">M17:M20</f>
        <v>0.2195134575569358</v>
      </c>
      <c r="T4" s="13" cm="1">
        <f t="array" ref="T4:T7">I23:I26</f>
        <v>0.24154154068006362</v>
      </c>
    </row>
    <row r="5" spans="1:20" ht="19.95" customHeight="1" x14ac:dyDescent="0.25">
      <c r="H5" s="11" t="s">
        <v>22</v>
      </c>
      <c r="I5" s="13">
        <f>SUM('Q1'!$B10:$E10)/SUM('Q1'!$B$9:$E$12)</f>
        <v>0.34210526315789475</v>
      </c>
      <c r="J5" s="20"/>
      <c r="K5" s="20"/>
      <c r="L5" s="20"/>
      <c r="M5" s="25"/>
      <c r="O5" s="11" t="s">
        <v>22</v>
      </c>
      <c r="P5" s="13">
        <v>0.31050012890939843</v>
      </c>
      <c r="Q5" s="13">
        <v>0.34210526315789475</v>
      </c>
      <c r="R5" s="13">
        <v>0.20175438596491227</v>
      </c>
      <c r="S5" s="13">
        <v>0.31402691511387165</v>
      </c>
      <c r="T5" s="13">
        <v>0.34159132270623865</v>
      </c>
    </row>
    <row r="6" spans="1:20" ht="19.95" customHeight="1" x14ac:dyDescent="0.25">
      <c r="H6" s="11" t="s">
        <v>23</v>
      </c>
      <c r="I6" s="13">
        <f>SUM('Q1'!$B11:$E11)/SUM('Q1'!$B$9:$E$12)</f>
        <v>0.13157894736842105</v>
      </c>
      <c r="J6" s="20"/>
      <c r="K6" s="20"/>
      <c r="L6" s="20"/>
      <c r="M6" s="25"/>
      <c r="O6" s="11" t="s">
        <v>23</v>
      </c>
      <c r="P6" s="13">
        <v>0.13063993116747782</v>
      </c>
      <c r="Q6" s="13">
        <v>0.13157894736842105</v>
      </c>
      <c r="R6" s="13">
        <v>0.39473684210526316</v>
      </c>
      <c r="S6" s="13">
        <v>0.13245341614906833</v>
      </c>
      <c r="T6" s="13">
        <v>0.14985315428791643</v>
      </c>
    </row>
    <row r="7" spans="1:20" ht="19.95" customHeight="1" x14ac:dyDescent="0.25">
      <c r="H7" s="11" t="s">
        <v>24</v>
      </c>
      <c r="I7" s="13">
        <f>SUM('Q1'!$B12:$E12)/SUM('Q1'!$B$9:$E$12)</f>
        <v>0.31578947368421051</v>
      </c>
      <c r="J7" s="20"/>
      <c r="K7" s="20"/>
      <c r="L7" s="20"/>
      <c r="M7" s="25"/>
      <c r="O7" s="11" t="s">
        <v>24</v>
      </c>
      <c r="P7" s="13">
        <v>0.34254512702364803</v>
      </c>
      <c r="Q7" s="13">
        <v>0.31578947368421051</v>
      </c>
      <c r="R7" s="13">
        <v>0.15789473684210525</v>
      </c>
      <c r="S7" s="13">
        <v>0.33400621118012419</v>
      </c>
      <c r="T7" s="13">
        <v>0.36706376435195631</v>
      </c>
    </row>
    <row r="8" spans="1:20" ht="19.95" customHeight="1" x14ac:dyDescent="0.25">
      <c r="A8" s="11" t="str" cm="1">
        <f t="array" ref="A8:E12">PCM</f>
        <v>PCM</v>
      </c>
      <c r="B8" s="18" t="str">
        <v>معیار اول</v>
      </c>
      <c r="C8" s="18" t="str">
        <v>معیار دوم</v>
      </c>
      <c r="D8" s="18" t="str">
        <v>معیار سوم</v>
      </c>
      <c r="E8" s="18" t="str">
        <v>معیار چهارم</v>
      </c>
      <c r="H8" s="24"/>
      <c r="I8" s="20"/>
      <c r="J8" s="20"/>
      <c r="K8" s="20"/>
      <c r="L8" s="20"/>
      <c r="M8" s="25"/>
      <c r="O8" s="24"/>
      <c r="P8" s="20"/>
      <c r="Q8" s="20"/>
      <c r="R8" s="20"/>
      <c r="S8" s="20"/>
      <c r="T8" s="25"/>
    </row>
    <row r="9" spans="1:20" ht="19.95" customHeight="1" x14ac:dyDescent="0.25">
      <c r="A9" s="18" t="str">
        <v>معیار اول</v>
      </c>
      <c r="B9" s="45">
        <v>1</v>
      </c>
      <c r="C9" s="50">
        <v>0.5</v>
      </c>
      <c r="D9" s="50">
        <v>1.5</v>
      </c>
      <c r="E9" s="45">
        <v>1</v>
      </c>
      <c r="H9" s="75" t="s">
        <v>26</v>
      </c>
      <c r="I9" s="75"/>
      <c r="J9" s="20"/>
      <c r="K9" s="20"/>
      <c r="L9" s="20"/>
      <c r="M9" s="25"/>
      <c r="O9" s="72" t="s">
        <v>31</v>
      </c>
      <c r="P9" s="73"/>
      <c r="Q9" s="73"/>
      <c r="R9" s="73"/>
      <c r="S9" s="73"/>
      <c r="T9" s="25"/>
    </row>
    <row r="10" spans="1:20" ht="19.95" customHeight="1" x14ac:dyDescent="0.25">
      <c r="A10" s="18" t="str">
        <v>معیار دوم</v>
      </c>
      <c r="B10" s="45">
        <v>2</v>
      </c>
      <c r="C10" s="45">
        <v>1</v>
      </c>
      <c r="D10" s="45">
        <v>3</v>
      </c>
      <c r="E10" s="50">
        <v>0.5</v>
      </c>
      <c r="H10" s="11" t="s">
        <v>21</v>
      </c>
      <c r="I10" s="13">
        <f>SUM('Q1'!B$9:B$12)/SUM('Q1'!$B$9:$E$12)</f>
        <v>0.24561403508771926</v>
      </c>
      <c r="J10" s="20"/>
      <c r="K10" s="20"/>
      <c r="L10" s="20"/>
      <c r="M10" s="25"/>
      <c r="O10" s="11"/>
      <c r="P10" s="18" t="s">
        <v>25</v>
      </c>
      <c r="Q10" s="18" t="s">
        <v>26</v>
      </c>
      <c r="R10" s="18" t="s">
        <v>28</v>
      </c>
      <c r="S10" s="18" t="s">
        <v>27</v>
      </c>
      <c r="T10" s="25"/>
    </row>
    <row r="11" spans="1:20" ht="19.95" customHeight="1" x14ac:dyDescent="0.25">
      <c r="A11" s="18" t="str">
        <v>معیار سوم</v>
      </c>
      <c r="B11" s="50">
        <v>0.66666666666666663</v>
      </c>
      <c r="C11" s="50">
        <v>0.33333333333333331</v>
      </c>
      <c r="D11" s="45">
        <v>1</v>
      </c>
      <c r="E11" s="50">
        <v>0.5</v>
      </c>
      <c r="H11" s="11" t="s">
        <v>22</v>
      </c>
      <c r="I11" s="13">
        <f>SUM('Q1'!C$9:C$12)/SUM('Q1'!$B$9:$E$12)</f>
        <v>0.20175438596491227</v>
      </c>
      <c r="J11" s="20"/>
      <c r="K11" s="20"/>
      <c r="L11" s="20"/>
      <c r="M11" s="25"/>
      <c r="O11" s="11" t="s">
        <v>21</v>
      </c>
      <c r="P11" s="13">
        <f>ABS($P$4-Q4)</f>
        <v>5.7884971100018168E-3</v>
      </c>
      <c r="Q11" s="13">
        <f>ABS($P$4-R4)</f>
        <v>2.9299222188243768E-2</v>
      </c>
      <c r="R11" s="13">
        <f>ABS($P$4-S4)</f>
        <v>3.1986446574603089E-3</v>
      </c>
      <c r="S11" s="13">
        <f>ABS($P$4-T4)</f>
        <v>2.5226727780588126E-2</v>
      </c>
      <c r="T11" s="25"/>
    </row>
    <row r="12" spans="1:20" ht="19.95" customHeight="1" x14ac:dyDescent="0.25">
      <c r="A12" s="18" t="str">
        <v>معیار چهارم</v>
      </c>
      <c r="B12" s="45">
        <v>1</v>
      </c>
      <c r="C12" s="45">
        <v>2</v>
      </c>
      <c r="D12" s="45">
        <v>2</v>
      </c>
      <c r="E12" s="45">
        <v>1</v>
      </c>
      <c r="H12" s="11" t="s">
        <v>23</v>
      </c>
      <c r="I12" s="13">
        <f>SUM('Q1'!D$9:D$12)/SUM('Q1'!$B$9:$E$12)</f>
        <v>0.39473684210526316</v>
      </c>
      <c r="J12" s="20"/>
      <c r="K12" s="20"/>
      <c r="L12" s="20"/>
      <c r="M12" s="25"/>
      <c r="O12" s="11" t="s">
        <v>22</v>
      </c>
      <c r="P12" s="13">
        <f>ABS($P$5-Q5)</f>
        <v>3.1605134248496314E-2</v>
      </c>
      <c r="Q12" s="13">
        <f>ABS($P$5-R5)</f>
        <v>0.10874574294448616</v>
      </c>
      <c r="R12" s="13">
        <f>ABS($P$5-S5)</f>
        <v>3.5267862044732201E-3</v>
      </c>
      <c r="S12" s="13">
        <f>ABS($P$5-T5)</f>
        <v>3.1091193796840222E-2</v>
      </c>
      <c r="T12" s="25"/>
    </row>
    <row r="13" spans="1:20" ht="19.95" customHeight="1" x14ac:dyDescent="0.25">
      <c r="H13" s="11" t="s">
        <v>24</v>
      </c>
      <c r="I13" s="13">
        <f>SUM('Q1'!E$9:E$12)/SUM('Q1'!$B$9:$E$12)</f>
        <v>0.15789473684210525</v>
      </c>
      <c r="J13" s="20"/>
      <c r="K13" s="20"/>
      <c r="L13" s="20"/>
      <c r="M13" s="25"/>
      <c r="O13" s="11" t="s">
        <v>23</v>
      </c>
      <c r="P13" s="13">
        <f>ABS($P$6-Q6)</f>
        <v>9.3901620094322125E-4</v>
      </c>
      <c r="Q13" s="13">
        <f>ABS($P$6-R6)</f>
        <v>0.26409691093778531</v>
      </c>
      <c r="R13" s="13">
        <f>ABS($P$6-S6)</f>
        <v>1.8134849815905074E-3</v>
      </c>
      <c r="S13" s="13">
        <f>ABS($P$6-T6)</f>
        <v>1.9213223120438605E-2</v>
      </c>
      <c r="T13" s="25"/>
    </row>
    <row r="14" spans="1:20" ht="19.95" customHeight="1" thickBot="1" x14ac:dyDescent="0.3">
      <c r="H14" s="24"/>
      <c r="I14" s="20"/>
      <c r="J14" s="20"/>
      <c r="K14" s="20"/>
      <c r="L14" s="20"/>
      <c r="M14" s="25"/>
      <c r="O14" s="32" t="s">
        <v>24</v>
      </c>
      <c r="P14" s="30">
        <f>ABS($P$7-Q7)</f>
        <v>2.6755653339437524E-2</v>
      </c>
      <c r="Q14" s="30">
        <f>ABS($P$7-R7)</f>
        <v>0.18465039018154278</v>
      </c>
      <c r="R14" s="30">
        <f>ABS($P$7-S7)</f>
        <v>8.5389158435238421E-3</v>
      </c>
      <c r="S14" s="30">
        <f>ABS($P$7-T7)</f>
        <v>2.4518637328308279E-2</v>
      </c>
      <c r="T14" s="25"/>
    </row>
    <row r="15" spans="1:20" ht="19.95" customHeight="1" thickTop="1" x14ac:dyDescent="0.25">
      <c r="H15" s="75" t="s">
        <v>28</v>
      </c>
      <c r="I15" s="75"/>
      <c r="J15" s="75"/>
      <c r="K15" s="75"/>
      <c r="L15" s="75"/>
      <c r="M15" s="75"/>
      <c r="O15" s="33" t="s">
        <v>32</v>
      </c>
      <c r="P15" s="31">
        <f>SUM(P11:P14)</f>
        <v>6.5088300898878876E-2</v>
      </c>
      <c r="Q15" s="31">
        <f>SUM(Q11:Q14)</f>
        <v>0.58679226625205794</v>
      </c>
      <c r="R15" s="3">
        <f>SUM(R11:R14)</f>
        <v>1.7077831687047879E-2</v>
      </c>
      <c r="S15" s="31">
        <f>SUM(S11:S14)</f>
        <v>0.10004978202617523</v>
      </c>
      <c r="T15" s="25"/>
    </row>
    <row r="16" spans="1:20" ht="19.95" customHeight="1" x14ac:dyDescent="0.25">
      <c r="H16" s="71" t="s">
        <v>29</v>
      </c>
      <c r="I16" s="71"/>
      <c r="J16" s="71"/>
      <c r="K16" s="71"/>
      <c r="L16" s="20"/>
      <c r="M16" s="25"/>
      <c r="O16" s="24"/>
      <c r="P16" s="20"/>
      <c r="Q16" s="20"/>
      <c r="R16" s="20"/>
      <c r="S16" s="20"/>
      <c r="T16" s="25"/>
    </row>
    <row r="17" spans="8:20" ht="19.95" customHeight="1" x14ac:dyDescent="0.25">
      <c r="H17" s="16">
        <f>'Q1'!B9/SUM('Q1'!B$9:B$12)</f>
        <v>0.2142857142857143</v>
      </c>
      <c r="I17" s="16">
        <f>'Q1'!C9/SUM('Q1'!C$9:C$12)</f>
        <v>0.13043478260869565</v>
      </c>
      <c r="J17" s="16">
        <f>'Q1'!D9/SUM('Q1'!D$9:D$12)</f>
        <v>0.2</v>
      </c>
      <c r="K17" s="16">
        <f>'Q1'!E9/SUM('Q1'!E$9:E$12)</f>
        <v>0.33333333333333331</v>
      </c>
      <c r="L17" s="11" t="s">
        <v>21</v>
      </c>
      <c r="M17" s="13">
        <f>AVERAGE($H17:$K17)</f>
        <v>0.2195134575569358</v>
      </c>
      <c r="O17" s="76" t="s">
        <v>33</v>
      </c>
      <c r="P17" s="77"/>
      <c r="Q17" s="77"/>
      <c r="R17" s="77"/>
      <c r="S17" s="77"/>
      <c r="T17" s="78"/>
    </row>
    <row r="18" spans="8:20" ht="19.95" customHeight="1" x14ac:dyDescent="0.25">
      <c r="H18" s="16">
        <f>'Q1'!B10/SUM('Q1'!B$9:B$12)</f>
        <v>0.4285714285714286</v>
      </c>
      <c r="I18" s="16">
        <f>'Q1'!C10/SUM('Q1'!C$9:C$12)</f>
        <v>0.2608695652173913</v>
      </c>
      <c r="J18" s="16">
        <f>'Q1'!D10/SUM('Q1'!D$9:D$12)</f>
        <v>0.4</v>
      </c>
      <c r="K18" s="16">
        <f>'Q1'!E10/SUM('Q1'!E$9:E$12)</f>
        <v>0.16666666666666666</v>
      </c>
      <c r="L18" s="11" t="s">
        <v>22</v>
      </c>
      <c r="M18" s="13">
        <f>AVERAGE($H18:$K18)</f>
        <v>0.31402691511387165</v>
      </c>
      <c r="O18" s="79"/>
      <c r="P18" s="80"/>
      <c r="Q18" s="80"/>
      <c r="R18" s="80"/>
      <c r="S18" s="80"/>
      <c r="T18" s="81"/>
    </row>
    <row r="19" spans="8:20" ht="19.95" customHeight="1" x14ac:dyDescent="0.25">
      <c r="H19" s="16">
        <f>'Q1'!B11/SUM('Q1'!B$9:B$12)</f>
        <v>0.14285714285714288</v>
      </c>
      <c r="I19" s="16">
        <f>'Q1'!C11/SUM('Q1'!C$9:C$12)</f>
        <v>8.6956521739130432E-2</v>
      </c>
      <c r="J19" s="16">
        <f>'Q1'!D11/SUM('Q1'!D$9:D$12)</f>
        <v>0.13333333333333333</v>
      </c>
      <c r="K19" s="16">
        <f>'Q1'!E11/SUM('Q1'!E$9:E$12)</f>
        <v>0.16666666666666666</v>
      </c>
      <c r="L19" s="11" t="s">
        <v>23</v>
      </c>
      <c r="M19" s="13">
        <f>AVERAGE($H19:$K19)</f>
        <v>0.13245341614906833</v>
      </c>
      <c r="O19" s="82"/>
      <c r="P19" s="83"/>
      <c r="Q19" s="83"/>
      <c r="R19" s="83"/>
      <c r="S19" s="83"/>
      <c r="T19" s="84"/>
    </row>
    <row r="20" spans="8:20" ht="19.95" customHeight="1" x14ac:dyDescent="0.25">
      <c r="H20" s="16">
        <f>'Q1'!B12/SUM('Q1'!B$9:B$12)</f>
        <v>0.2142857142857143</v>
      </c>
      <c r="I20" s="16">
        <f>'Q1'!C12/SUM('Q1'!C$9:C$12)</f>
        <v>0.52173913043478259</v>
      </c>
      <c r="J20" s="16">
        <f>'Q1'!D12/SUM('Q1'!D$9:D$12)</f>
        <v>0.26666666666666666</v>
      </c>
      <c r="K20" s="16">
        <f>'Q1'!E12/SUM('Q1'!E$9:E$12)</f>
        <v>0.33333333333333331</v>
      </c>
      <c r="L20" s="11" t="s">
        <v>24</v>
      </c>
      <c r="M20" s="13">
        <f>AVERAGE($H20:$K20)</f>
        <v>0.33400621118012419</v>
      </c>
    </row>
    <row r="21" spans="8:20" ht="19.95" customHeight="1" x14ac:dyDescent="0.25">
      <c r="H21" s="24"/>
      <c r="I21" s="20"/>
      <c r="J21" s="20"/>
      <c r="K21" s="20"/>
      <c r="L21" s="20"/>
      <c r="M21" s="25"/>
    </row>
    <row r="22" spans="8:20" ht="19.95" customHeight="1" x14ac:dyDescent="0.25">
      <c r="H22" s="72" t="s">
        <v>27</v>
      </c>
      <c r="I22" s="74"/>
      <c r="J22" s="20"/>
      <c r="K22" s="20"/>
      <c r="L22" s="20"/>
      <c r="M22" s="25"/>
    </row>
    <row r="23" spans="8:20" ht="19.95" customHeight="1" x14ac:dyDescent="0.25">
      <c r="H23" s="11" t="s">
        <v>21</v>
      </c>
      <c r="I23" s="13">
        <f>GEOMEAN('Q1'!$B9:$E9)/SUM(GEOMEAN('Q1'!$B$9:$E$9),GEOMEAN('Q1'!$B$9:$E$9),GEOMEAN('Q1'!$B$11:$E$11),GEOMEAN('Q1'!$B$12:$E$12))</f>
        <v>0.24154154068006362</v>
      </c>
      <c r="J23" s="20"/>
      <c r="K23" s="20"/>
      <c r="L23" s="20"/>
      <c r="M23" s="25"/>
    </row>
    <row r="24" spans="8:20" ht="19.95" customHeight="1" x14ac:dyDescent="0.25">
      <c r="H24" s="11" t="s">
        <v>22</v>
      </c>
      <c r="I24" s="13">
        <f>GEOMEAN('Q1'!$B10:$E10)/SUM(GEOMEAN('Q1'!$B$9:$E$9),GEOMEAN('Q1'!$B$9:$E$9),GEOMEAN('Q1'!$B$11:$E$11),GEOMEAN('Q1'!$B$12:$E$12))</f>
        <v>0.34159132270623865</v>
      </c>
      <c r="J24" s="20"/>
      <c r="K24" s="20"/>
      <c r="L24" s="20"/>
      <c r="M24" s="25"/>
    </row>
    <row r="25" spans="8:20" ht="19.95" customHeight="1" x14ac:dyDescent="0.25">
      <c r="H25" s="11" t="s">
        <v>23</v>
      </c>
      <c r="I25" s="13">
        <f>GEOMEAN('Q1'!$B11:$E11)/SUM(GEOMEAN('Q1'!$B$9:$E$9),GEOMEAN('Q1'!$B$9:$E$9),GEOMEAN('Q1'!$B$11:$E$11),GEOMEAN('Q1'!$B$12:$E$12))</f>
        <v>0.14985315428791643</v>
      </c>
      <c r="J25" s="20"/>
      <c r="K25" s="20"/>
      <c r="L25" s="20"/>
      <c r="M25" s="25"/>
    </row>
    <row r="26" spans="8:20" ht="19.95" customHeight="1" x14ac:dyDescent="0.25">
      <c r="H26" s="11" t="s">
        <v>24</v>
      </c>
      <c r="I26" s="13">
        <f>GEOMEAN('Q1'!$B12:$E12)/SUM(GEOMEAN('Q1'!$B$9:$E$9),GEOMEAN('Q1'!$B$9:$E$9),GEOMEAN('Q1'!$B$11:$E$11),GEOMEAN('Q1'!$B$12:$E$12))</f>
        <v>0.36706376435195631</v>
      </c>
      <c r="J26" s="22"/>
      <c r="K26" s="22"/>
      <c r="L26" s="22"/>
      <c r="M26" s="27"/>
    </row>
  </sheetData>
  <mergeCells count="13">
    <mergeCell ref="O9:S9"/>
    <mergeCell ref="H22:I22"/>
    <mergeCell ref="H3:I3"/>
    <mergeCell ref="H9:I9"/>
    <mergeCell ref="H15:M15"/>
    <mergeCell ref="H16:K16"/>
    <mergeCell ref="O17:T19"/>
    <mergeCell ref="A1:A2"/>
    <mergeCell ref="B1:B2"/>
    <mergeCell ref="C1:C4"/>
    <mergeCell ref="D1:D4"/>
    <mergeCell ref="A3:A4"/>
    <mergeCell ref="B3:B4"/>
  </mergeCells>
  <conditionalFormatting sqref="P15:S15">
    <cfRule type="top10" dxfId="0" priority="1" bottom="1"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4A158-3D36-46E4-BCAA-4F835E723E0E}">
  <sheetPr>
    <tabColor rgb="FF207A6F"/>
  </sheetPr>
  <dimension ref="A1:O13"/>
  <sheetViews>
    <sheetView showGridLines="0" zoomScale="80" zoomScaleNormal="80" workbookViewId="0">
      <selection sqref="A1:D4"/>
    </sheetView>
  </sheetViews>
  <sheetFormatPr defaultRowHeight="19.95" customHeight="1" x14ac:dyDescent="0.25"/>
  <cols>
    <col min="1" max="1" width="10.6328125" customWidth="1"/>
    <col min="2" max="5" width="16.6328125" customWidth="1"/>
    <col min="6" max="6" width="7.6328125" customWidth="1"/>
    <col min="7" max="7" width="3.1796875" customWidth="1"/>
    <col min="8" max="11" width="10.6328125" customWidth="1"/>
    <col min="12" max="12" width="3.1796875" customWidth="1"/>
  </cols>
  <sheetData>
    <row r="1" spans="1:15" ht="19.95" customHeight="1" x14ac:dyDescent="0.25">
      <c r="A1" s="127" t="s">
        <v>0</v>
      </c>
      <c r="B1" s="128">
        <f>_xlfn.CEILING.MATH(AVERAGE(4,0,1,2,5,0,2,0))</f>
        <v>2</v>
      </c>
      <c r="C1" s="125"/>
      <c r="D1" s="126"/>
      <c r="E1" s="2"/>
      <c r="F1" s="2"/>
    </row>
    <row r="2" spans="1:15" ht="19.95" customHeight="1" x14ac:dyDescent="0.25">
      <c r="A2" s="127"/>
      <c r="B2" s="128"/>
      <c r="C2" s="125"/>
      <c r="D2" s="126"/>
      <c r="E2" s="2"/>
      <c r="F2" s="2"/>
      <c r="H2" s="85" t="s">
        <v>34</v>
      </c>
      <c r="I2" s="86"/>
      <c r="J2" s="86"/>
      <c r="K2" s="87"/>
    </row>
    <row r="3" spans="1:15" ht="19.95" customHeight="1" x14ac:dyDescent="0.25">
      <c r="A3" s="127" t="s">
        <v>1</v>
      </c>
      <c r="B3" s="128">
        <f>_xlfn.CEILING.MATH(AVERAGE(0,2,0))</f>
        <v>1</v>
      </c>
      <c r="C3" s="125"/>
      <c r="D3" s="126"/>
      <c r="E3" s="2"/>
      <c r="F3" s="2"/>
      <c r="H3" s="29"/>
      <c r="K3" s="88" cm="1">
        <f t="array" ref="K3">SUM(SUM(POWER(B9:E9*H10:K10-$H$10,2)),
            SUM(POWER(B10:E10*H10:K10-$I$10,2)),
            SUM(POWER(B11:E11*H10:K10-$J$10,2)),
            SUM(POWER(B12:E12*H10:K10-$K$10,2)))</f>
        <v>0.15060750557401825</v>
      </c>
    </row>
    <row r="4" spans="1:15" ht="19.95" customHeight="1" x14ac:dyDescent="6.25">
      <c r="A4" s="127"/>
      <c r="B4" s="128"/>
      <c r="C4" s="125"/>
      <c r="D4" s="126"/>
      <c r="E4" s="2"/>
      <c r="F4" s="2"/>
      <c r="H4" s="29"/>
      <c r="K4" s="89"/>
      <c r="O4" s="47" t="s">
        <v>57</v>
      </c>
    </row>
    <row r="5" spans="1:15" ht="19.95" customHeight="1" x14ac:dyDescent="0.25">
      <c r="A5" s="2"/>
      <c r="B5" s="2"/>
      <c r="C5" s="2"/>
      <c r="D5" s="2"/>
      <c r="E5" s="2"/>
      <c r="F5" s="2"/>
      <c r="H5" s="29"/>
      <c r="K5" s="89"/>
    </row>
    <row r="6" spans="1:15" ht="19.95" customHeight="1" x14ac:dyDescent="0.25">
      <c r="A6" s="2"/>
      <c r="B6" s="2"/>
      <c r="C6" s="2"/>
      <c r="D6" s="2"/>
      <c r="E6" s="2"/>
      <c r="F6" s="2"/>
      <c r="H6" s="29"/>
      <c r="J6" s="4"/>
      <c r="K6" s="90"/>
    </row>
    <row r="7" spans="1:15" ht="19.95" customHeight="1" x14ac:dyDescent="0.3">
      <c r="A7" s="2"/>
      <c r="B7" s="2"/>
      <c r="C7" s="2"/>
      <c r="D7" s="2"/>
      <c r="E7" s="2"/>
      <c r="F7" s="2"/>
      <c r="H7" s="34"/>
      <c r="I7" s="35"/>
      <c r="J7" s="35"/>
      <c r="K7" s="36"/>
      <c r="N7" s="48"/>
    </row>
    <row r="8" spans="1:15" ht="19.95" customHeight="1" x14ac:dyDescent="0.25">
      <c r="A8" s="11" t="str" cm="1">
        <f t="array" ref="A8:E12">PCM</f>
        <v>PCM</v>
      </c>
      <c r="B8" s="18" t="str">
        <v>معیار اول</v>
      </c>
      <c r="C8" s="18" t="str">
        <v>معیار دوم</v>
      </c>
      <c r="D8" s="18" t="str">
        <v>معیار سوم</v>
      </c>
      <c r="E8" s="18" t="str">
        <v>معیار چهارم</v>
      </c>
      <c r="F8" s="2"/>
      <c r="H8" s="85" t="s">
        <v>35</v>
      </c>
      <c r="I8" s="86"/>
      <c r="J8" s="86"/>
      <c r="K8" s="87"/>
    </row>
    <row r="9" spans="1:15" ht="19.95" customHeight="1" x14ac:dyDescent="0.25">
      <c r="A9" s="18" t="str">
        <v>معیار اول</v>
      </c>
      <c r="B9" s="45">
        <v>1</v>
      </c>
      <c r="C9" s="50">
        <v>0.5</v>
      </c>
      <c r="D9" s="50">
        <v>1.5</v>
      </c>
      <c r="E9" s="45">
        <v>1</v>
      </c>
      <c r="F9" s="2"/>
      <c r="H9" s="11" t="s">
        <v>21</v>
      </c>
      <c r="I9" s="11" t="s">
        <v>22</v>
      </c>
      <c r="J9" s="11" t="s">
        <v>23</v>
      </c>
      <c r="K9" s="11" t="s">
        <v>24</v>
      </c>
    </row>
    <row r="10" spans="1:15" ht="19.95" customHeight="1" x14ac:dyDescent="0.25">
      <c r="A10" s="18" t="str">
        <v>معیار دوم</v>
      </c>
      <c r="B10" s="45">
        <v>2</v>
      </c>
      <c r="C10" s="45">
        <v>1</v>
      </c>
      <c r="D10" s="45">
        <v>3</v>
      </c>
      <c r="E10" s="50">
        <v>0.5</v>
      </c>
      <c r="F10" s="2"/>
      <c r="H10" s="13">
        <v>0.2214860077674855</v>
      </c>
      <c r="I10" s="13">
        <v>0.28023940050545193</v>
      </c>
      <c r="J10" s="13">
        <v>0.13543652030113484</v>
      </c>
      <c r="K10" s="13">
        <v>0.36283807142592756</v>
      </c>
    </row>
    <row r="11" spans="1:15" ht="19.95" customHeight="1" x14ac:dyDescent="0.25">
      <c r="A11" s="18" t="str">
        <v>معیار سوم</v>
      </c>
      <c r="B11" s="50">
        <v>0.66666666666666663</v>
      </c>
      <c r="C11" s="50">
        <v>0.33333333333333331</v>
      </c>
      <c r="D11" s="45">
        <v>1</v>
      </c>
      <c r="E11" s="50">
        <v>0.5</v>
      </c>
      <c r="F11" s="2"/>
      <c r="H11" s="34"/>
      <c r="I11" s="35"/>
      <c r="J11" s="35"/>
      <c r="K11" s="36"/>
    </row>
    <row r="12" spans="1:15" ht="19.95" customHeight="1" x14ac:dyDescent="0.25">
      <c r="A12" s="18" t="str">
        <v>معیار چهارم</v>
      </c>
      <c r="B12" s="45">
        <v>1</v>
      </c>
      <c r="C12" s="45">
        <v>2</v>
      </c>
      <c r="D12" s="45">
        <v>2</v>
      </c>
      <c r="E12" s="45">
        <v>1</v>
      </c>
      <c r="F12" s="2"/>
      <c r="H12" s="85" t="s">
        <v>36</v>
      </c>
      <c r="I12" s="86"/>
      <c r="J12" s="86"/>
      <c r="K12" s="87"/>
    </row>
    <row r="13" spans="1:15" ht="19.95" customHeight="1" x14ac:dyDescent="0.25">
      <c r="H13" s="91" t="s">
        <v>46</v>
      </c>
      <c r="I13" s="92"/>
      <c r="J13" s="93">
        <f>SUM(H10:K10)</f>
        <v>0.99999999999999978</v>
      </c>
      <c r="K13" s="94"/>
    </row>
  </sheetData>
  <mergeCells count="12">
    <mergeCell ref="H2:K2"/>
    <mergeCell ref="K3:K6"/>
    <mergeCell ref="H8:K8"/>
    <mergeCell ref="H12:K12"/>
    <mergeCell ref="H13:I13"/>
    <mergeCell ref="J13:K13"/>
    <mergeCell ref="A1:A2"/>
    <mergeCell ref="B1:B2"/>
    <mergeCell ref="C1:C4"/>
    <mergeCell ref="D1:D4"/>
    <mergeCell ref="A3:A4"/>
    <mergeCell ref="B3:B4"/>
  </mergeCells>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017BC-AA57-490D-ADE0-FBD25C7FDF16}">
  <sheetPr>
    <tabColor rgb="FF207A6F"/>
  </sheetPr>
  <dimension ref="A1:U28"/>
  <sheetViews>
    <sheetView showGridLines="0" zoomScale="80" zoomScaleNormal="80" workbookViewId="0">
      <selection sqref="A1:D4"/>
    </sheetView>
  </sheetViews>
  <sheetFormatPr defaultRowHeight="19.95" customHeight="1" x14ac:dyDescent="0.25"/>
  <cols>
    <col min="1" max="1" width="10.6328125" customWidth="1"/>
    <col min="2" max="5" width="16.6328125" customWidth="1"/>
    <col min="6" max="6" width="7.6328125" customWidth="1"/>
    <col min="7" max="7" width="3.1796875" customWidth="1"/>
    <col min="8" max="12" width="10.6328125" customWidth="1"/>
    <col min="13" max="13" width="3.1796875" customWidth="1"/>
    <col min="14" max="18" width="10.6328125" customWidth="1"/>
    <col min="19" max="19" width="3.1796875" customWidth="1"/>
    <col min="22" max="22" width="3.1796875" customWidth="1"/>
  </cols>
  <sheetData>
    <row r="1" spans="1:21" ht="19.95" customHeight="1" x14ac:dyDescent="0.25">
      <c r="A1" s="127" t="s">
        <v>0</v>
      </c>
      <c r="B1" s="128">
        <f>_xlfn.CEILING.MATH(AVERAGE(4,0,1,2,5,0,2,0))</f>
        <v>2</v>
      </c>
      <c r="C1" s="125"/>
      <c r="D1" s="126"/>
      <c r="E1" s="2"/>
      <c r="F1" s="2"/>
    </row>
    <row r="2" spans="1:21" ht="19.95" customHeight="1" x14ac:dyDescent="0.25">
      <c r="A2" s="127"/>
      <c r="B2" s="128"/>
      <c r="C2" s="125"/>
      <c r="D2" s="126"/>
      <c r="E2" s="2"/>
      <c r="F2" s="2"/>
      <c r="H2" s="97" t="s">
        <v>37</v>
      </c>
      <c r="I2" s="98"/>
      <c r="J2" s="98"/>
      <c r="K2" s="99"/>
      <c r="L2" s="18" t="s">
        <v>38</v>
      </c>
    </row>
    <row r="3" spans="1:21" ht="19.95" customHeight="1" x14ac:dyDescent="0.25">
      <c r="A3" s="127" t="s">
        <v>1</v>
      </c>
      <c r="B3" s="128">
        <f>_xlfn.CEILING.MATH(AVERAGE(0,2,0))</f>
        <v>1</v>
      </c>
      <c r="C3" s="125"/>
      <c r="D3" s="126"/>
      <c r="E3" s="2"/>
      <c r="F3" s="2"/>
      <c r="H3" s="12">
        <v>0.33333333333333337</v>
      </c>
      <c r="I3" s="12">
        <v>0</v>
      </c>
      <c r="J3" s="12">
        <v>0</v>
      </c>
      <c r="K3" s="12">
        <v>0.66666666666666663</v>
      </c>
      <c r="L3" s="45">
        <v>1</v>
      </c>
      <c r="Q3" s="5"/>
    </row>
    <row r="4" spans="1:21" ht="19.95" customHeight="1" x14ac:dyDescent="0.25">
      <c r="A4" s="127"/>
      <c r="B4" s="128"/>
      <c r="C4" s="125"/>
      <c r="D4" s="126"/>
      <c r="E4" s="2"/>
      <c r="F4" s="2"/>
      <c r="H4" s="12">
        <v>0.5</v>
      </c>
      <c r="I4" s="12">
        <v>0</v>
      </c>
      <c r="J4" s="12">
        <v>0</v>
      </c>
      <c r="K4" s="12">
        <v>0</v>
      </c>
      <c r="L4" s="45">
        <v>1</v>
      </c>
      <c r="Q4" s="5"/>
    </row>
    <row r="5" spans="1:21" ht="19.95" customHeight="1" x14ac:dyDescent="0.25">
      <c r="H5" s="12">
        <v>0.33333333333333337</v>
      </c>
      <c r="I5" s="12">
        <v>0</v>
      </c>
      <c r="J5" s="12">
        <v>0</v>
      </c>
      <c r="K5" s="12">
        <v>0.66666666666666663</v>
      </c>
      <c r="L5" s="45">
        <v>1</v>
      </c>
    </row>
    <row r="6" spans="1:21" ht="19.95" customHeight="1" x14ac:dyDescent="0.25">
      <c r="H6" s="12">
        <v>0</v>
      </c>
      <c r="I6" s="12">
        <v>0.5</v>
      </c>
      <c r="J6" s="12">
        <v>0</v>
      </c>
      <c r="K6" s="12">
        <v>0</v>
      </c>
      <c r="L6" s="45">
        <v>1</v>
      </c>
    </row>
    <row r="7" spans="1:21" ht="19.95" customHeight="1" thickBot="1" x14ac:dyDescent="0.3"/>
    <row r="8" spans="1:21" ht="19.95" customHeight="1" x14ac:dyDescent="0.25">
      <c r="A8" s="11" t="s">
        <v>2</v>
      </c>
      <c r="B8" s="18" t="s">
        <v>3</v>
      </c>
      <c r="C8" s="18" t="s">
        <v>4</v>
      </c>
      <c r="D8" s="18" t="s">
        <v>5</v>
      </c>
      <c r="E8" s="18" t="s">
        <v>6</v>
      </c>
      <c r="H8" s="95" t="s">
        <v>58</v>
      </c>
      <c r="I8" s="100"/>
      <c r="J8" s="100"/>
      <c r="K8" s="100"/>
      <c r="L8" s="96"/>
      <c r="M8" s="38"/>
      <c r="N8" s="95" t="s">
        <v>59</v>
      </c>
      <c r="O8" s="100"/>
      <c r="P8" s="100"/>
      <c r="Q8" s="100"/>
      <c r="R8" s="96"/>
      <c r="T8" s="95" t="s">
        <v>86</v>
      </c>
      <c r="U8" s="96"/>
    </row>
    <row r="9" spans="1:21" ht="19.95" customHeight="1" x14ac:dyDescent="0.25">
      <c r="A9" s="18" t="s">
        <v>3</v>
      </c>
      <c r="B9" s="45">
        <v>1</v>
      </c>
      <c r="C9" s="50">
        <v>0.5</v>
      </c>
      <c r="D9" s="50">
        <v>1.5</v>
      </c>
      <c r="E9" s="45">
        <v>1</v>
      </c>
      <c r="H9" s="103" t="s">
        <v>34</v>
      </c>
      <c r="I9" s="104"/>
      <c r="J9" s="104"/>
      <c r="K9" s="104"/>
      <c r="L9" s="105"/>
      <c r="M9" s="35"/>
      <c r="N9" s="103" t="s">
        <v>34</v>
      </c>
      <c r="O9" s="104"/>
      <c r="P9" s="104"/>
      <c r="Q9" s="104"/>
      <c r="R9" s="105"/>
      <c r="T9" s="52" t="s">
        <v>67</v>
      </c>
      <c r="U9" s="44">
        <f>L10/SUM(L10,R10,L21,R21)</f>
        <v>0.28125</v>
      </c>
    </row>
    <row r="10" spans="1:21" ht="19.95" customHeight="1" x14ac:dyDescent="0.25">
      <c r="A10" s="18" t="s">
        <v>4</v>
      </c>
      <c r="B10" s="45">
        <v>2</v>
      </c>
      <c r="C10" s="45">
        <v>1</v>
      </c>
      <c r="D10" s="45">
        <v>3</v>
      </c>
      <c r="E10" s="50">
        <v>0.5</v>
      </c>
      <c r="H10" s="101" t="s">
        <v>39</v>
      </c>
      <c r="I10" s="102"/>
      <c r="J10" s="102"/>
      <c r="K10" s="92"/>
      <c r="L10" s="44">
        <f>SUMPRODUCT(B9:E9,H3:K3)</f>
        <v>1</v>
      </c>
      <c r="M10" s="35"/>
      <c r="N10" s="101" t="s">
        <v>40</v>
      </c>
      <c r="O10" s="102"/>
      <c r="P10" s="102"/>
      <c r="Q10" s="92"/>
      <c r="R10" s="44">
        <f>SUMPRODUCT(B10:E10,H4:K4)</f>
        <v>1</v>
      </c>
      <c r="T10" s="52" t="s">
        <v>87</v>
      </c>
      <c r="U10" s="44">
        <f>R10/SUM(L10,R10,L21,R21)</f>
        <v>0.28125</v>
      </c>
    </row>
    <row r="11" spans="1:21" ht="19.95" customHeight="1" x14ac:dyDescent="0.25">
      <c r="A11" s="18" t="s">
        <v>5</v>
      </c>
      <c r="B11" s="50">
        <v>0.66666666666666663</v>
      </c>
      <c r="C11" s="50">
        <v>0.33333333333333331</v>
      </c>
      <c r="D11" s="45">
        <v>1</v>
      </c>
      <c r="E11" s="50">
        <v>0.5</v>
      </c>
      <c r="H11" s="40"/>
      <c r="I11" s="35"/>
      <c r="J11" s="35"/>
      <c r="K11" s="35"/>
      <c r="L11" s="41"/>
      <c r="M11" s="35"/>
      <c r="N11" s="40"/>
      <c r="O11" s="35"/>
      <c r="P11" s="35"/>
      <c r="Q11" s="35"/>
      <c r="R11" s="41"/>
      <c r="T11" s="52" t="s">
        <v>88</v>
      </c>
      <c r="U11" s="44">
        <f>L21/SUM(L10,R10,L21,R21)</f>
        <v>0.15625000000000003</v>
      </c>
    </row>
    <row r="12" spans="1:21" ht="19.95" customHeight="1" thickBot="1" x14ac:dyDescent="0.3">
      <c r="A12" s="18" t="s">
        <v>6</v>
      </c>
      <c r="B12" s="45">
        <v>1</v>
      </c>
      <c r="C12" s="45">
        <v>2</v>
      </c>
      <c r="D12" s="45">
        <v>2</v>
      </c>
      <c r="E12" s="45">
        <v>1</v>
      </c>
      <c r="H12" s="103" t="s">
        <v>36</v>
      </c>
      <c r="I12" s="104"/>
      <c r="J12" s="104"/>
      <c r="K12" s="104"/>
      <c r="L12" s="105"/>
      <c r="M12" s="35"/>
      <c r="N12" s="103" t="s">
        <v>36</v>
      </c>
      <c r="O12" s="104"/>
      <c r="P12" s="104"/>
      <c r="Q12" s="104"/>
      <c r="R12" s="105"/>
      <c r="T12" s="53" t="s">
        <v>89</v>
      </c>
      <c r="U12" s="58">
        <f>R21/SUM(L10,R10,L21,R21)</f>
        <v>0.28125</v>
      </c>
    </row>
    <row r="13" spans="1:21" ht="19.95" customHeight="1" x14ac:dyDescent="0.25">
      <c r="H13" s="106" t="s">
        <v>47</v>
      </c>
      <c r="I13" s="107"/>
      <c r="J13" s="107"/>
      <c r="K13" s="107"/>
      <c r="L13" s="46">
        <f>L3</f>
        <v>1</v>
      </c>
      <c r="M13" s="35"/>
      <c r="N13" s="106" t="s">
        <v>49</v>
      </c>
      <c r="O13" s="107"/>
      <c r="P13" s="107"/>
      <c r="Q13" s="107"/>
      <c r="R13" s="46">
        <f>L4</f>
        <v>1</v>
      </c>
    </row>
    <row r="14" spans="1:21" ht="19.95" customHeight="1" x14ac:dyDescent="0.25">
      <c r="H14" s="106" t="s">
        <v>48</v>
      </c>
      <c r="I14" s="107"/>
      <c r="J14" s="107"/>
      <c r="K14" s="107"/>
      <c r="L14" s="42">
        <f>SUMPRODUCT(B9:E9,$H$3:$K$3)-$L$3</f>
        <v>0</v>
      </c>
      <c r="M14" s="35"/>
      <c r="N14" s="106" t="s">
        <v>50</v>
      </c>
      <c r="O14" s="107"/>
      <c r="P14" s="107"/>
      <c r="Q14" s="107"/>
      <c r="R14" s="42">
        <f>SUMPRODUCT(B9:E9,$H$4:$K$4)-$L$4</f>
        <v>-0.5</v>
      </c>
    </row>
    <row r="15" spans="1:21" ht="19.95" customHeight="1" x14ac:dyDescent="0.25">
      <c r="H15" s="106"/>
      <c r="I15" s="107"/>
      <c r="J15" s="107"/>
      <c r="K15" s="107"/>
      <c r="L15" s="42">
        <f t="shared" ref="L15:L17" si="0">SUMPRODUCT(B10:E10,$H$3:$K$3)-$L$3</f>
        <v>0</v>
      </c>
      <c r="M15" s="35"/>
      <c r="N15" s="106"/>
      <c r="O15" s="107"/>
      <c r="P15" s="107"/>
      <c r="Q15" s="107"/>
      <c r="R15" s="42">
        <f>SUMPRODUCT(B10:E10,$H$4:$K$4)-$L$4</f>
        <v>0</v>
      </c>
    </row>
    <row r="16" spans="1:21" ht="19.95" customHeight="1" x14ac:dyDescent="0.25">
      <c r="H16" s="106"/>
      <c r="I16" s="107"/>
      <c r="J16" s="107"/>
      <c r="K16" s="107"/>
      <c r="L16" s="42">
        <f t="shared" si="0"/>
        <v>-0.44444444444444442</v>
      </c>
      <c r="M16" s="35"/>
      <c r="N16" s="106"/>
      <c r="O16" s="107"/>
      <c r="P16" s="107"/>
      <c r="Q16" s="107"/>
      <c r="R16" s="42">
        <f>SUMPRODUCT(B11:E11,$H$4:$K$4)-$L$4</f>
        <v>-0.66666666666666674</v>
      </c>
    </row>
    <row r="17" spans="2:18" ht="19.95" customHeight="1" thickBot="1" x14ac:dyDescent="0.3">
      <c r="H17" s="108"/>
      <c r="I17" s="109"/>
      <c r="J17" s="109"/>
      <c r="K17" s="109"/>
      <c r="L17" s="43">
        <f t="shared" si="0"/>
        <v>0</v>
      </c>
      <c r="M17" s="35"/>
      <c r="N17" s="108"/>
      <c r="O17" s="109"/>
      <c r="P17" s="109"/>
      <c r="Q17" s="109"/>
      <c r="R17" s="43">
        <f>SUMPRODUCT(B12:E12,$H$4:$K$4)-$L$4</f>
        <v>-0.5</v>
      </c>
    </row>
    <row r="18" spans="2:18" ht="19.95" customHeight="1" thickBot="1" x14ac:dyDescent="0.3">
      <c r="B18" s="4"/>
      <c r="H18" s="40"/>
      <c r="I18" s="35"/>
      <c r="J18" s="35"/>
      <c r="K18" s="35"/>
      <c r="L18" s="35"/>
      <c r="M18" s="35"/>
      <c r="N18" s="35"/>
      <c r="O18" s="35"/>
      <c r="P18" s="35"/>
      <c r="Q18" s="35"/>
      <c r="R18" s="41"/>
    </row>
    <row r="19" spans="2:18" ht="19.95" customHeight="1" x14ac:dyDescent="0.25">
      <c r="B19" s="4"/>
      <c r="H19" s="95" t="s">
        <v>60</v>
      </c>
      <c r="I19" s="100"/>
      <c r="J19" s="100"/>
      <c r="K19" s="100"/>
      <c r="L19" s="96"/>
      <c r="M19" s="35"/>
      <c r="N19" s="95" t="s">
        <v>61</v>
      </c>
      <c r="O19" s="100"/>
      <c r="P19" s="100"/>
      <c r="Q19" s="100"/>
      <c r="R19" s="96"/>
    </row>
    <row r="20" spans="2:18" ht="19.95" customHeight="1" x14ac:dyDescent="0.25">
      <c r="B20" s="4"/>
      <c r="H20" s="103" t="s">
        <v>34</v>
      </c>
      <c r="I20" s="104"/>
      <c r="J20" s="104"/>
      <c r="K20" s="104"/>
      <c r="L20" s="105"/>
      <c r="M20" s="35"/>
      <c r="N20" s="103" t="s">
        <v>34</v>
      </c>
      <c r="O20" s="104"/>
      <c r="P20" s="104"/>
      <c r="Q20" s="104"/>
      <c r="R20" s="105"/>
    </row>
    <row r="21" spans="2:18" ht="19.95" customHeight="1" x14ac:dyDescent="0.25">
      <c r="B21" s="4"/>
      <c r="H21" s="101" t="s">
        <v>55</v>
      </c>
      <c r="I21" s="102"/>
      <c r="J21" s="102"/>
      <c r="K21" s="92"/>
      <c r="L21" s="44">
        <f>SUMPRODUCT(B11:E11,H5:K5)</f>
        <v>0.55555555555555558</v>
      </c>
      <c r="M21" s="35"/>
      <c r="N21" s="101" t="s">
        <v>56</v>
      </c>
      <c r="O21" s="102"/>
      <c r="P21" s="102"/>
      <c r="Q21" s="92"/>
      <c r="R21" s="44">
        <f>SUMPRODUCT(B12:E12,H6:K6)</f>
        <v>1</v>
      </c>
    </row>
    <row r="22" spans="2:18" ht="19.95" customHeight="1" x14ac:dyDescent="0.25">
      <c r="B22" s="4"/>
      <c r="H22" s="40"/>
      <c r="I22" s="35"/>
      <c r="J22" s="35"/>
      <c r="K22" s="35"/>
      <c r="L22" s="41"/>
      <c r="M22" s="35"/>
      <c r="N22" s="40"/>
      <c r="O22" s="35"/>
      <c r="P22" s="35"/>
      <c r="Q22" s="35"/>
      <c r="R22" s="41"/>
    </row>
    <row r="23" spans="2:18" ht="19.95" customHeight="1" x14ac:dyDescent="0.25">
      <c r="H23" s="103" t="s">
        <v>36</v>
      </c>
      <c r="I23" s="104"/>
      <c r="J23" s="104"/>
      <c r="K23" s="104"/>
      <c r="L23" s="105"/>
      <c r="M23" s="35"/>
      <c r="N23" s="103" t="s">
        <v>36</v>
      </c>
      <c r="O23" s="104"/>
      <c r="P23" s="104"/>
      <c r="Q23" s="104"/>
      <c r="R23" s="105"/>
    </row>
    <row r="24" spans="2:18" ht="19.95" customHeight="1" x14ac:dyDescent="0.25">
      <c r="H24" s="106" t="s">
        <v>51</v>
      </c>
      <c r="I24" s="107"/>
      <c r="J24" s="107"/>
      <c r="K24" s="107"/>
      <c r="L24" s="46">
        <f>L5</f>
        <v>1</v>
      </c>
      <c r="M24" s="35"/>
      <c r="N24" s="106" t="s">
        <v>53</v>
      </c>
      <c r="O24" s="107"/>
      <c r="P24" s="107"/>
      <c r="Q24" s="107"/>
      <c r="R24" s="46">
        <f>L6</f>
        <v>1</v>
      </c>
    </row>
    <row r="25" spans="2:18" ht="19.95" customHeight="1" x14ac:dyDescent="0.25">
      <c r="H25" s="106" t="s">
        <v>52</v>
      </c>
      <c r="I25" s="107"/>
      <c r="J25" s="107"/>
      <c r="K25" s="107"/>
      <c r="L25" s="42">
        <f>SUMPRODUCT(B9:E9,$H$5:$K$5)-$L$5</f>
        <v>0</v>
      </c>
      <c r="M25" s="35"/>
      <c r="N25" s="106" t="s">
        <v>54</v>
      </c>
      <c r="O25" s="107"/>
      <c r="P25" s="107"/>
      <c r="Q25" s="107"/>
      <c r="R25" s="42">
        <f>SUMPRODUCT(B9:E9,$H$6:$K$6)-$L$6</f>
        <v>-0.75</v>
      </c>
    </row>
    <row r="26" spans="2:18" ht="19.95" customHeight="1" x14ac:dyDescent="0.25">
      <c r="H26" s="106"/>
      <c r="I26" s="107"/>
      <c r="J26" s="107"/>
      <c r="K26" s="107"/>
      <c r="L26" s="42">
        <f>SUMPRODUCT(B10:E10,$H$5:$K$5)-$L$5</f>
        <v>0</v>
      </c>
      <c r="M26" s="35"/>
      <c r="N26" s="106"/>
      <c r="O26" s="107"/>
      <c r="P26" s="107"/>
      <c r="Q26" s="107"/>
      <c r="R26" s="42">
        <f>SUMPRODUCT(B10:E10,$H$6:$K$6)-$L$6</f>
        <v>-0.5</v>
      </c>
    </row>
    <row r="27" spans="2:18" ht="19.95" customHeight="1" x14ac:dyDescent="0.25">
      <c r="H27" s="106"/>
      <c r="I27" s="107"/>
      <c r="J27" s="107"/>
      <c r="K27" s="107"/>
      <c r="L27" s="42">
        <f>SUMPRODUCT(B11:E11,$H$5:$K$5)-$L$5</f>
        <v>-0.44444444444444442</v>
      </c>
      <c r="M27" s="35"/>
      <c r="N27" s="106"/>
      <c r="O27" s="107"/>
      <c r="P27" s="107"/>
      <c r="Q27" s="107"/>
      <c r="R27" s="42">
        <f>SUMPRODUCT(B11:E11,$H$6:$K$6)-$L$6</f>
        <v>-0.83333333333333337</v>
      </c>
    </row>
    <row r="28" spans="2:18" ht="19.95" customHeight="1" thickBot="1" x14ac:dyDescent="0.3">
      <c r="H28" s="108"/>
      <c r="I28" s="109"/>
      <c r="J28" s="109"/>
      <c r="K28" s="109"/>
      <c r="L28" s="43">
        <f>SUMPRODUCT(B12:E12,$H$5:$K$5)-$L$5</f>
        <v>0</v>
      </c>
      <c r="M28" s="39"/>
      <c r="N28" s="108"/>
      <c r="O28" s="109"/>
      <c r="P28" s="109"/>
      <c r="Q28" s="109"/>
      <c r="R28" s="43">
        <f>SUMPRODUCT(B12:E12,$H$6:$K$6)-$L$6</f>
        <v>0</v>
      </c>
    </row>
  </sheetData>
  <mergeCells count="32">
    <mergeCell ref="H13:K13"/>
    <mergeCell ref="H14:K17"/>
    <mergeCell ref="N13:Q13"/>
    <mergeCell ref="N14:Q17"/>
    <mergeCell ref="H21:K21"/>
    <mergeCell ref="N19:R19"/>
    <mergeCell ref="N20:R20"/>
    <mergeCell ref="H19:L19"/>
    <mergeCell ref="H20:L20"/>
    <mergeCell ref="H24:K24"/>
    <mergeCell ref="H25:K28"/>
    <mergeCell ref="N21:Q21"/>
    <mergeCell ref="N24:Q24"/>
    <mergeCell ref="N25:Q28"/>
    <mergeCell ref="N23:R23"/>
    <mergeCell ref="H23:L23"/>
    <mergeCell ref="H10:K10"/>
    <mergeCell ref="N10:Q10"/>
    <mergeCell ref="H9:L9"/>
    <mergeCell ref="H12:L12"/>
    <mergeCell ref="N9:R9"/>
    <mergeCell ref="N12:R12"/>
    <mergeCell ref="T8:U8"/>
    <mergeCell ref="H2:K2"/>
    <mergeCell ref="H8:L8"/>
    <mergeCell ref="N8:R8"/>
    <mergeCell ref="A1:A2"/>
    <mergeCell ref="B1:B2"/>
    <mergeCell ref="C1:C4"/>
    <mergeCell ref="D1:D4"/>
    <mergeCell ref="A3:A4"/>
    <mergeCell ref="B3:B4"/>
  </mergeCells>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5AF53-5CF5-4858-8B79-F3D62B9142AC}">
  <sheetPr>
    <tabColor rgb="FF207A6F"/>
  </sheetPr>
  <dimension ref="A1:K33"/>
  <sheetViews>
    <sheetView showGridLines="0" zoomScale="80" zoomScaleNormal="80" workbookViewId="0">
      <selection sqref="A1:D4"/>
    </sheetView>
  </sheetViews>
  <sheetFormatPr defaultColWidth="8.81640625" defaultRowHeight="20.100000000000001" customHeight="1" x14ac:dyDescent="0.25"/>
  <cols>
    <col min="1" max="1" width="10.6328125" style="2" customWidth="1"/>
    <col min="2" max="5" width="16.6328125" style="2" customWidth="1"/>
    <col min="6" max="6" width="7.6328125" style="2" customWidth="1"/>
    <col min="7" max="7" width="3.1796875" style="2" customWidth="1"/>
    <col min="8" max="11" width="10.6328125" style="2" customWidth="1"/>
    <col min="12" max="12" width="3.1796875" style="2" customWidth="1"/>
    <col min="13" max="16384" width="8.81640625" style="2"/>
  </cols>
  <sheetData>
    <row r="1" spans="1:11" ht="20.100000000000001" customHeight="1" x14ac:dyDescent="0.25">
      <c r="A1" s="127" t="s">
        <v>0</v>
      </c>
      <c r="B1" s="128">
        <f>_xlfn.CEILING.MATH(AVERAGE(4,0,1,2,5,0,2,0))</f>
        <v>2</v>
      </c>
      <c r="C1" s="125"/>
      <c r="D1" s="126"/>
    </row>
    <row r="2" spans="1:11" ht="20.100000000000001" customHeight="1" x14ac:dyDescent="0.25">
      <c r="A2" s="127"/>
      <c r="B2" s="128"/>
      <c r="C2" s="125"/>
      <c r="D2" s="126"/>
      <c r="H2" s="85" t="s">
        <v>34</v>
      </c>
      <c r="I2" s="86"/>
      <c r="J2" s="86"/>
      <c r="K2" s="87"/>
    </row>
    <row r="3" spans="1:11" ht="20.100000000000001" customHeight="1" x14ac:dyDescent="0.25">
      <c r="A3" s="127" t="s">
        <v>1</v>
      </c>
      <c r="B3" s="128">
        <f>_xlfn.CEILING.MATH(AVERAGE(0,2,0))</f>
        <v>1</v>
      </c>
      <c r="C3" s="125"/>
      <c r="D3" s="126"/>
      <c r="H3" s="111" t="s">
        <v>62</v>
      </c>
      <c r="I3" s="112"/>
      <c r="J3" s="113"/>
      <c r="K3" s="51">
        <f>ABS(LN(I11))+ABS(LN(J11))+ABS(LN(K11))+ABS(LN(J12))+ABS(LN(K12))+ABS(LN(K13))</f>
        <v>1.6739776681171399</v>
      </c>
    </row>
    <row r="4" spans="1:11" ht="20.100000000000001" customHeight="1" x14ac:dyDescent="0.25">
      <c r="A4" s="127"/>
      <c r="B4" s="128"/>
      <c r="C4" s="125"/>
      <c r="D4" s="126"/>
      <c r="H4" s="85" t="s">
        <v>35</v>
      </c>
      <c r="I4" s="86"/>
      <c r="J4" s="86"/>
      <c r="K4" s="87"/>
    </row>
    <row r="5" spans="1:11" ht="20.100000000000001" customHeight="1" x14ac:dyDescent="0.25">
      <c r="H5" s="118" t="s">
        <v>63</v>
      </c>
      <c r="I5" s="119"/>
      <c r="J5" s="119"/>
      <c r="K5" s="120"/>
    </row>
    <row r="6" spans="1:11" ht="20.100000000000001" customHeight="1" x14ac:dyDescent="0.25">
      <c r="H6" s="111" t="s">
        <v>67</v>
      </c>
      <c r="I6" s="113"/>
      <c r="J6" s="45">
        <v>1</v>
      </c>
      <c r="K6" s="12">
        <f>J6/SUM($J$6:$J$9)</f>
        <v>0.24999992818772995</v>
      </c>
    </row>
    <row r="7" spans="1:11" ht="20.100000000000001" customHeight="1" x14ac:dyDescent="0.25">
      <c r="H7" s="111" t="s">
        <v>68</v>
      </c>
      <c r="I7" s="113"/>
      <c r="J7" s="17">
        <v>1.5000012192834407</v>
      </c>
      <c r="K7" s="16">
        <f t="shared" ref="K7:K9" si="0">J7/SUM($J$6:$J$9)</f>
        <v>0.37500019710236754</v>
      </c>
    </row>
    <row r="8" spans="1:11" ht="20.100000000000001" customHeight="1" x14ac:dyDescent="0.25">
      <c r="A8" s="11" t="str" cm="1">
        <f t="array" ref="A8:E12">PCM</f>
        <v>PCM</v>
      </c>
      <c r="B8" s="18" t="str">
        <v>معیار اول</v>
      </c>
      <c r="C8" s="18" t="str">
        <v>معیار دوم</v>
      </c>
      <c r="D8" s="18" t="str">
        <v>معیار سوم</v>
      </c>
      <c r="E8" s="18" t="str">
        <v>معیار چهارم</v>
      </c>
      <c r="H8" s="111" t="s">
        <v>69</v>
      </c>
      <c r="I8" s="113"/>
      <c r="J8" s="17">
        <v>0.49999992971321061</v>
      </c>
      <c r="K8" s="16">
        <f t="shared" si="0"/>
        <v>0.12499994652217268</v>
      </c>
    </row>
    <row r="9" spans="1:11" ht="20.100000000000001" customHeight="1" x14ac:dyDescent="0.25">
      <c r="A9" s="18" t="str">
        <v>معیار اول</v>
      </c>
      <c r="B9" s="45">
        <v>1</v>
      </c>
      <c r="C9" s="50">
        <v>0.5</v>
      </c>
      <c r="D9" s="50">
        <v>1.5</v>
      </c>
      <c r="E9" s="45">
        <v>1</v>
      </c>
      <c r="H9" s="111" t="s">
        <v>70</v>
      </c>
      <c r="I9" s="113"/>
      <c r="J9" s="45">
        <v>1</v>
      </c>
      <c r="K9" s="12">
        <f t="shared" si="0"/>
        <v>0.24999992818772995</v>
      </c>
    </row>
    <row r="10" spans="1:11" ht="20.100000000000001" customHeight="1" x14ac:dyDescent="0.25">
      <c r="A10" s="18" t="str">
        <v>معیار دوم</v>
      </c>
      <c r="B10" s="45">
        <v>2</v>
      </c>
      <c r="C10" s="45">
        <v>1</v>
      </c>
      <c r="D10" s="45">
        <v>3</v>
      </c>
      <c r="E10" s="50">
        <v>0.5</v>
      </c>
      <c r="H10" s="114" t="s">
        <v>71</v>
      </c>
      <c r="I10" s="115"/>
      <c r="J10" s="115"/>
      <c r="K10" s="116"/>
    </row>
    <row r="11" spans="1:11" ht="20.100000000000001" customHeight="1" x14ac:dyDescent="0.25">
      <c r="A11" s="18" t="str">
        <v>معیار سوم</v>
      </c>
      <c r="B11" s="50">
        <v>0.66666666666666663</v>
      </c>
      <c r="C11" s="50">
        <v>0.33333333333333331</v>
      </c>
      <c r="D11" s="45">
        <v>1</v>
      </c>
      <c r="E11" s="50">
        <v>0.5</v>
      </c>
      <c r="H11" s="45">
        <v>1</v>
      </c>
      <c r="I11" s="16">
        <v>1.3333322494738287</v>
      </c>
      <c r="J11" s="16">
        <v>1.3333335207647981</v>
      </c>
      <c r="K11" s="45">
        <v>1</v>
      </c>
    </row>
    <row r="12" spans="1:11" ht="20.100000000000001" customHeight="1" x14ac:dyDescent="0.25">
      <c r="A12" s="18" t="str">
        <v>معیار چهارم</v>
      </c>
      <c r="B12" s="45">
        <v>1</v>
      </c>
      <c r="C12" s="45">
        <v>2</v>
      </c>
      <c r="D12" s="45">
        <v>2</v>
      </c>
      <c r="E12" s="45">
        <v>1</v>
      </c>
      <c r="H12" s="12">
        <v>0.75000060964817439</v>
      </c>
      <c r="I12" s="45">
        <v>1</v>
      </c>
      <c r="J12" s="45">
        <v>1.0000009534392589</v>
      </c>
      <c r="K12" s="45">
        <v>3.0000024385643278</v>
      </c>
    </row>
    <row r="13" spans="1:11" ht="20.100000000000001" customHeight="1" x14ac:dyDescent="0.25">
      <c r="H13" s="12">
        <v>0.74999989456981586</v>
      </c>
      <c r="I13" s="45">
        <v>0.99999904653221627</v>
      </c>
      <c r="J13" s="45">
        <v>1</v>
      </c>
      <c r="K13" s="45">
        <v>0.99999985942642133</v>
      </c>
    </row>
    <row r="14" spans="1:11" ht="20.100000000000001" customHeight="1" x14ac:dyDescent="0.25">
      <c r="H14" s="45">
        <v>1</v>
      </c>
      <c r="I14" s="16">
        <v>0.33333306236145288</v>
      </c>
      <c r="J14" s="45">
        <v>1.0000001405735985</v>
      </c>
      <c r="K14" s="45">
        <v>1</v>
      </c>
    </row>
    <row r="15" spans="1:11" ht="20.100000000000001" customHeight="1" x14ac:dyDescent="0.25">
      <c r="H15" s="85" t="s">
        <v>36</v>
      </c>
      <c r="I15" s="86"/>
      <c r="J15" s="86"/>
      <c r="K15" s="87"/>
    </row>
    <row r="16" spans="1:11" ht="20.100000000000001" customHeight="1" x14ac:dyDescent="0.25">
      <c r="H16" s="117" t="s">
        <v>74</v>
      </c>
      <c r="I16" s="45">
        <f>LN(J6)-LN(J7)-LN(I11)-LN(C9)</f>
        <v>3.9662162443221405E-11</v>
      </c>
      <c r="J16" s="110" t="s">
        <v>65</v>
      </c>
      <c r="K16" s="45">
        <f>ABS(LN(I11))-LN(I11)</f>
        <v>0</v>
      </c>
    </row>
    <row r="17" spans="8:11" ht="20.100000000000001" customHeight="1" x14ac:dyDescent="0.25">
      <c r="H17" s="117"/>
      <c r="I17" s="45">
        <f>LN(J6)-LN(J8)-LN(J11)-LN(D9)</f>
        <v>0</v>
      </c>
      <c r="J17" s="110"/>
      <c r="K17" s="45">
        <f>ABS(LN(J11))-LN(J11)</f>
        <v>0</v>
      </c>
    </row>
    <row r="18" spans="8:11" ht="20.100000000000001" customHeight="1" x14ac:dyDescent="0.25">
      <c r="H18" s="117"/>
      <c r="I18" s="45">
        <f>LN(J6)-LN(J9)-LN(K11)-LN(E9)</f>
        <v>0</v>
      </c>
      <c r="J18" s="110"/>
      <c r="K18" s="45">
        <f>ABS(LN(K11))-LN(K11)</f>
        <v>0</v>
      </c>
    </row>
    <row r="19" spans="8:11" ht="20.100000000000001" customHeight="1" x14ac:dyDescent="0.25">
      <c r="H19" s="117"/>
      <c r="I19" s="45">
        <f>LN(J7)-LN(J6)-LN(H12)-LN(B10)</f>
        <v>-8.6054496861720509E-12</v>
      </c>
      <c r="J19" s="110"/>
      <c r="K19" s="45">
        <f>ABS(LN(J12))-LN(J12)</f>
        <v>0</v>
      </c>
    </row>
    <row r="20" spans="8:11" ht="20.100000000000001" customHeight="1" x14ac:dyDescent="0.25">
      <c r="H20" s="117"/>
      <c r="I20" s="45">
        <f>LN(J7)-LN(J8)-LN(J12)-LN(D10)</f>
        <v>-9.9189545466060736E-12</v>
      </c>
      <c r="J20" s="110"/>
      <c r="K20" s="45">
        <f>ABS(LN(K12))-LN(K12)</f>
        <v>0</v>
      </c>
    </row>
    <row r="21" spans="8:11" ht="20.100000000000001" customHeight="1" x14ac:dyDescent="0.25">
      <c r="H21" s="117"/>
      <c r="I21" s="45">
        <f>LN(J7)-LN(J9)-LN(K12)-LN(E10)</f>
        <v>8.51096970677645E-13</v>
      </c>
      <c r="J21" s="110"/>
      <c r="K21" s="45">
        <f>ABS(LN(K13))-LN(K13)</f>
        <v>2.811471770936724E-7</v>
      </c>
    </row>
    <row r="22" spans="8:11" ht="20.100000000000001" customHeight="1" x14ac:dyDescent="0.25">
      <c r="H22" s="117"/>
      <c r="I22" s="45">
        <f>LN(J8)-LN(J6)-LN(H13)-LN(B11)</f>
        <v>0</v>
      </c>
      <c r="J22" s="110" t="s">
        <v>66</v>
      </c>
      <c r="K22" s="16">
        <f>ABS(LN(I11))-LN(H12)</f>
        <v>0.57536251914470082</v>
      </c>
    </row>
    <row r="23" spans="8:11" ht="20.100000000000001" customHeight="1" x14ac:dyDescent="0.25">
      <c r="H23" s="117"/>
      <c r="I23" s="45">
        <f>LN(J8)-LN(J7)-LN(I13)-LN(C11)</f>
        <v>3.9352965330863299E-11</v>
      </c>
      <c r="J23" s="110"/>
      <c r="K23" s="16">
        <f>ABS(LN(J11))-LN(H13)</f>
        <v>0.57536442605073923</v>
      </c>
    </row>
    <row r="24" spans="8:11" ht="20.100000000000001" customHeight="1" x14ac:dyDescent="0.25">
      <c r="H24" s="117"/>
      <c r="I24" s="45">
        <f>LN(J8)-LN(J9)-LN(K13)-LN(E11)</f>
        <v>0</v>
      </c>
      <c r="J24" s="110"/>
      <c r="K24" s="45">
        <f>ABS(LN(K11))-LN(H14)</f>
        <v>0</v>
      </c>
    </row>
    <row r="25" spans="8:11" ht="20.100000000000001" customHeight="1" x14ac:dyDescent="0.25">
      <c r="H25" s="117"/>
      <c r="I25" s="45">
        <f>LN(J9)-LN(J6)-LN(H14)-LN(B12)</f>
        <v>0</v>
      </c>
      <c r="J25" s="110"/>
      <c r="K25" s="45">
        <f>ABS(LN(J12))-LN(I13)</f>
        <v>1.9069070426314311E-6</v>
      </c>
    </row>
    <row r="26" spans="8:11" ht="20.100000000000001" customHeight="1" x14ac:dyDescent="0.25">
      <c r="H26" s="117"/>
      <c r="I26" s="45">
        <f>LN(J9)-LN(J7)-LN(I14)-LN(C12)</f>
        <v>6.0675020563394355E-11</v>
      </c>
      <c r="J26" s="110"/>
      <c r="K26" s="16">
        <f>ABS(LN(K12))-LN(I14)</f>
        <v>2.197226203106637</v>
      </c>
    </row>
    <row r="27" spans="8:11" ht="20.100000000000001" customHeight="1" x14ac:dyDescent="0.25">
      <c r="H27" s="117"/>
      <c r="I27" s="45">
        <f>LN(J9)-LN(J8)-LN(J14)-LN(D12)</f>
        <v>0</v>
      </c>
      <c r="J27" s="110"/>
      <c r="K27" s="45">
        <f>ABS(LN(K13))-LN(J14)</f>
        <v>-1.1205832963612607E-16</v>
      </c>
    </row>
    <row r="28" spans="8:11" ht="20.100000000000001" customHeight="1" x14ac:dyDescent="0.25">
      <c r="H28" s="56" t="s">
        <v>72</v>
      </c>
      <c r="I28" s="45">
        <f>LN(J6)</f>
        <v>0</v>
      </c>
      <c r="J28" s="110" t="s">
        <v>73</v>
      </c>
      <c r="K28" s="16">
        <f>ABS(LN(I11))</f>
        <v>0.28768125955682206</v>
      </c>
    </row>
    <row r="29" spans="8:11" ht="20.100000000000001" customHeight="1" x14ac:dyDescent="0.25">
      <c r="H29" s="110" t="s">
        <v>64</v>
      </c>
      <c r="I29" s="16">
        <f>LN(J6)-LN(J8)</f>
        <v>0.69314732113353394</v>
      </c>
      <c r="J29" s="110"/>
      <c r="K29" s="16">
        <f>ABS(LN(J11))</f>
        <v>0.28768221302536956</v>
      </c>
    </row>
    <row r="30" spans="8:11" ht="20.100000000000001" customHeight="1" x14ac:dyDescent="0.25">
      <c r="H30" s="110"/>
      <c r="I30" s="16">
        <f>LN(J7)-LN(J8)</f>
        <v>1.0986132420969952</v>
      </c>
      <c r="J30" s="110"/>
      <c r="K30" s="45">
        <f>ABS(LN(K11))</f>
        <v>0</v>
      </c>
    </row>
    <row r="31" spans="8:11" ht="20.100000000000001" customHeight="1" x14ac:dyDescent="0.25">
      <c r="H31" s="110"/>
      <c r="I31" s="16">
        <f>LN(J7)-LN(J9)</f>
        <v>0.40546592096346112</v>
      </c>
      <c r="J31" s="110"/>
      <c r="K31" s="45">
        <f>ABS(LN(J12))</f>
        <v>9.5343880435433209E-7</v>
      </c>
    </row>
    <row r="32" spans="8:11" ht="20.100000000000001" customHeight="1" x14ac:dyDescent="0.25">
      <c r="H32" s="57"/>
      <c r="I32" s="37"/>
      <c r="J32" s="110"/>
      <c r="K32" s="16">
        <f>ABS(LN(K12))</f>
        <v>1.0986131015225553</v>
      </c>
    </row>
    <row r="33" spans="8:11" ht="20.100000000000001" customHeight="1" x14ac:dyDescent="0.25">
      <c r="H33" s="28"/>
      <c r="I33" s="27"/>
      <c r="J33" s="110"/>
      <c r="K33" s="45">
        <f>ABS(LN(K13))</f>
        <v>1.405735885468362E-7</v>
      </c>
    </row>
  </sheetData>
  <mergeCells count="21">
    <mergeCell ref="H2:K2"/>
    <mergeCell ref="H5:K5"/>
    <mergeCell ref="H4:K4"/>
    <mergeCell ref="A1:A2"/>
    <mergeCell ref="B1:B2"/>
    <mergeCell ref="C1:C4"/>
    <mergeCell ref="D1:D4"/>
    <mergeCell ref="A3:A4"/>
    <mergeCell ref="B3:B4"/>
    <mergeCell ref="J28:J33"/>
    <mergeCell ref="H29:H31"/>
    <mergeCell ref="H3:J3"/>
    <mergeCell ref="H15:K15"/>
    <mergeCell ref="H10:K10"/>
    <mergeCell ref="H16:H27"/>
    <mergeCell ref="J16:J21"/>
    <mergeCell ref="J22:J27"/>
    <mergeCell ref="H9:I9"/>
    <mergeCell ref="H8:I8"/>
    <mergeCell ref="H7:I7"/>
    <mergeCell ref="H6:I6"/>
  </mergeCells>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65CBD-7E7C-489A-8E32-26BCDBE24139}">
  <sheetPr>
    <tabColor rgb="FF207A6F"/>
  </sheetPr>
  <dimension ref="A1:K40"/>
  <sheetViews>
    <sheetView showGridLines="0" zoomScale="80" zoomScaleNormal="80" workbookViewId="0">
      <selection activeCell="C17" sqref="C17"/>
    </sheetView>
  </sheetViews>
  <sheetFormatPr defaultColWidth="8.81640625" defaultRowHeight="20.100000000000001" customHeight="1" x14ac:dyDescent="0.25"/>
  <cols>
    <col min="1" max="1" width="10.6328125" style="2" customWidth="1"/>
    <col min="2" max="5" width="16.6328125" style="2" customWidth="1"/>
    <col min="6" max="6" width="7.6328125" style="2" customWidth="1"/>
    <col min="7" max="7" width="3.1796875" style="2" customWidth="1"/>
    <col min="8" max="11" width="10.6328125" style="2" customWidth="1"/>
    <col min="12" max="12" width="3.1796875" style="2" customWidth="1"/>
    <col min="13" max="16384" width="8.81640625" style="2"/>
  </cols>
  <sheetData>
    <row r="1" spans="1:11" ht="20.100000000000001" customHeight="1" x14ac:dyDescent="0.25">
      <c r="A1" s="127" t="s">
        <v>0</v>
      </c>
      <c r="B1" s="128">
        <f>_xlfn.CEILING.MATH(AVERAGE(4,0,1,2,5,0,2,0))</f>
        <v>2</v>
      </c>
      <c r="C1" s="125"/>
      <c r="D1" s="126"/>
    </row>
    <row r="2" spans="1:11" ht="20.100000000000001" customHeight="1" x14ac:dyDescent="0.25">
      <c r="A2" s="127"/>
      <c r="B2" s="128"/>
      <c r="C2" s="125"/>
      <c r="D2" s="126"/>
      <c r="H2" s="85" t="s">
        <v>34</v>
      </c>
      <c r="I2" s="86"/>
      <c r="J2" s="86"/>
      <c r="K2" s="87"/>
    </row>
    <row r="3" spans="1:11" ht="20.100000000000001" customHeight="1" x14ac:dyDescent="0.25">
      <c r="A3" s="127" t="s">
        <v>1</v>
      </c>
      <c r="B3" s="128">
        <f>_xlfn.CEILING.MATH(AVERAGE(0,2,0))</f>
        <v>1</v>
      </c>
      <c r="C3" s="125"/>
      <c r="D3" s="126"/>
      <c r="H3" s="54" t="s">
        <v>75</v>
      </c>
      <c r="I3" s="51">
        <v>1.6739776681171399</v>
      </c>
      <c r="J3" s="55" t="s">
        <v>76</v>
      </c>
      <c r="K3" s="51">
        <f>H16</f>
        <v>0.69314676087977811</v>
      </c>
    </row>
    <row r="4" spans="1:11" ht="20.100000000000001" customHeight="1" x14ac:dyDescent="0.25">
      <c r="A4" s="127"/>
      <c r="B4" s="128"/>
      <c r="C4" s="125"/>
      <c r="D4" s="126"/>
      <c r="H4" s="85" t="s">
        <v>35</v>
      </c>
      <c r="I4" s="86"/>
      <c r="J4" s="86"/>
      <c r="K4" s="87"/>
    </row>
    <row r="5" spans="1:11" ht="20.100000000000001" customHeight="1" x14ac:dyDescent="0.25">
      <c r="H5" s="118" t="s">
        <v>63</v>
      </c>
      <c r="I5" s="119"/>
      <c r="J5" s="119"/>
      <c r="K5" s="120"/>
    </row>
    <row r="6" spans="1:11" ht="20.100000000000001" customHeight="1" x14ac:dyDescent="0.25">
      <c r="H6" s="111" t="s">
        <v>67</v>
      </c>
      <c r="I6" s="113"/>
      <c r="J6" s="45">
        <v>1</v>
      </c>
      <c r="K6" s="13">
        <f>J6/SUM($J$6:$J$9)</f>
        <v>0.27272731965924552</v>
      </c>
    </row>
    <row r="7" spans="1:11" ht="20.100000000000001" customHeight="1" x14ac:dyDescent="0.25">
      <c r="H7" s="111" t="s">
        <v>68</v>
      </c>
      <c r="I7" s="113"/>
      <c r="J7" s="17">
        <v>0.99999980720472714</v>
      </c>
      <c r="K7" s="13">
        <f t="shared" ref="K7:K9" si="0">J7/SUM($J$6:$J$9)</f>
        <v>0.27272726707870748</v>
      </c>
    </row>
    <row r="8" spans="1:11" ht="20.100000000000001" customHeight="1" x14ac:dyDescent="0.25">
      <c r="A8" s="11" t="str" cm="1">
        <f t="array" ref="A8:E12">PCM</f>
        <v>PCM</v>
      </c>
      <c r="B8" s="18" t="str">
        <v>معیار اول</v>
      </c>
      <c r="C8" s="18" t="str">
        <v>معیار دوم</v>
      </c>
      <c r="D8" s="18" t="str">
        <v>معیار سوم</v>
      </c>
      <c r="E8" s="18" t="str">
        <v>معیار چهارم</v>
      </c>
      <c r="H8" s="111" t="s">
        <v>69</v>
      </c>
      <c r="I8" s="113"/>
      <c r="J8" s="17">
        <v>0.66666622848774748</v>
      </c>
      <c r="K8" s="13">
        <f t="shared" si="0"/>
        <v>0.18181809360280152</v>
      </c>
    </row>
    <row r="9" spans="1:11" ht="20.100000000000001" customHeight="1" x14ac:dyDescent="0.25">
      <c r="A9" s="18" t="str">
        <v>معیار اول</v>
      </c>
      <c r="B9" s="45">
        <v>1</v>
      </c>
      <c r="C9" s="50">
        <v>0.5</v>
      </c>
      <c r="D9" s="50">
        <v>1.5</v>
      </c>
      <c r="E9" s="45">
        <v>1</v>
      </c>
      <c r="H9" s="111" t="s">
        <v>70</v>
      </c>
      <c r="I9" s="113"/>
      <c r="J9" s="45">
        <v>1</v>
      </c>
      <c r="K9" s="13">
        <f t="shared" si="0"/>
        <v>0.27272731965924552</v>
      </c>
    </row>
    <row r="10" spans="1:11" ht="20.100000000000001" customHeight="1" x14ac:dyDescent="0.25">
      <c r="A10" s="18" t="str">
        <v>معیار دوم</v>
      </c>
      <c r="B10" s="45">
        <v>2</v>
      </c>
      <c r="C10" s="45">
        <v>1</v>
      </c>
      <c r="D10" s="45">
        <v>3</v>
      </c>
      <c r="E10" s="50">
        <v>0.5</v>
      </c>
      <c r="H10" s="114" t="s">
        <v>71</v>
      </c>
      <c r="I10" s="115"/>
      <c r="J10" s="115"/>
      <c r="K10" s="116"/>
    </row>
    <row r="11" spans="1:11" ht="20.100000000000001" customHeight="1" x14ac:dyDescent="0.25">
      <c r="A11" s="18" t="str">
        <v>معیار سوم</v>
      </c>
      <c r="B11" s="50">
        <v>0.66666666666666663</v>
      </c>
      <c r="C11" s="50">
        <v>0.33333333333333331</v>
      </c>
      <c r="D11" s="45">
        <v>1</v>
      </c>
      <c r="E11" s="50">
        <v>0.5</v>
      </c>
      <c r="H11" s="45">
        <v>1</v>
      </c>
      <c r="I11" s="16">
        <v>1.9999999821373458</v>
      </c>
      <c r="J11" s="16">
        <v>1.000000657268109</v>
      </c>
      <c r="K11" s="45">
        <v>1</v>
      </c>
    </row>
    <row r="12" spans="1:11" ht="20.100000000000001" customHeight="1" x14ac:dyDescent="0.25">
      <c r="A12" s="18" t="str">
        <v>معیار چهارم</v>
      </c>
      <c r="B12" s="45">
        <v>1</v>
      </c>
      <c r="C12" s="45">
        <v>2</v>
      </c>
      <c r="D12" s="45">
        <v>2</v>
      </c>
      <c r="E12" s="45">
        <v>1</v>
      </c>
      <c r="H12" s="45">
        <v>0.49999990360236352</v>
      </c>
      <c r="I12" s="16">
        <v>1</v>
      </c>
      <c r="J12" s="16">
        <v>0.50000023223596635</v>
      </c>
      <c r="K12" s="45">
        <v>1.9999996144094547</v>
      </c>
    </row>
    <row r="13" spans="1:11" ht="20.100000000000001" customHeight="1" x14ac:dyDescent="0.25">
      <c r="H13" s="45">
        <v>0.99999934273162128</v>
      </c>
      <c r="I13" s="16">
        <v>2.0000003463187155</v>
      </c>
      <c r="J13" s="16">
        <v>1</v>
      </c>
      <c r="K13" s="45">
        <v>1.333332456975495</v>
      </c>
    </row>
    <row r="14" spans="1:11" ht="20.100000000000001" customHeight="1" x14ac:dyDescent="0.25">
      <c r="H14" s="45">
        <v>1</v>
      </c>
      <c r="I14" s="16">
        <v>0.50000041521510696</v>
      </c>
      <c r="J14" s="16">
        <v>0.75000049295108384</v>
      </c>
      <c r="K14" s="45">
        <v>1</v>
      </c>
    </row>
    <row r="15" spans="1:11" ht="20.100000000000001" customHeight="1" x14ac:dyDescent="0.25">
      <c r="H15" s="114" t="s">
        <v>77</v>
      </c>
      <c r="I15" s="115"/>
      <c r="J15" s="115"/>
      <c r="K15" s="116"/>
    </row>
    <row r="16" spans="1:11" ht="20.100000000000001" customHeight="1" x14ac:dyDescent="0.25">
      <c r="H16" s="93">
        <v>0.69314676087977811</v>
      </c>
      <c r="I16" s="121"/>
      <c r="J16" s="121"/>
      <c r="K16" s="94"/>
    </row>
    <row r="17" spans="8:11" ht="20.100000000000001" customHeight="1" x14ac:dyDescent="0.25">
      <c r="H17" s="85" t="s">
        <v>36</v>
      </c>
      <c r="I17" s="86"/>
      <c r="J17" s="86"/>
      <c r="K17" s="87"/>
    </row>
    <row r="18" spans="8:11" ht="20.100000000000001" customHeight="1" x14ac:dyDescent="0.25">
      <c r="H18" s="117" t="s">
        <v>74</v>
      </c>
      <c r="I18" s="45">
        <f>LN(J6)-LN(J7)-LN(I11)-LN(C9)</f>
        <v>2.0172661852058127E-7</v>
      </c>
      <c r="J18" s="110" t="s">
        <v>65</v>
      </c>
      <c r="K18" s="45">
        <f>ABS(LN(I11))-LN(I11)</f>
        <v>0</v>
      </c>
    </row>
    <row r="19" spans="8:11" ht="20.100000000000001" customHeight="1" x14ac:dyDescent="0.25">
      <c r="H19" s="117"/>
      <c r="I19" s="45">
        <f>LN(J6)-LN(J8)-LN(J11)-LN(D9)</f>
        <v>7.0171646271433019E-13</v>
      </c>
      <c r="J19" s="110"/>
      <c r="K19" s="45">
        <f>ABS(LN(J11))-LN(J11)</f>
        <v>0</v>
      </c>
    </row>
    <row r="20" spans="8:11" ht="20.100000000000001" customHeight="1" x14ac:dyDescent="0.25">
      <c r="H20" s="117"/>
      <c r="I20" s="45">
        <f>LN(J6)-LN(J9)-LN(K11)-LN(E9)</f>
        <v>0</v>
      </c>
      <c r="J20" s="110"/>
      <c r="K20" s="45">
        <f>ABS(LN(K11))-LN(K11)</f>
        <v>0</v>
      </c>
    </row>
    <row r="21" spans="8:11" ht="20.100000000000001" customHeight="1" x14ac:dyDescent="0.25">
      <c r="H21" s="117"/>
      <c r="I21" s="45">
        <f>LN(J7)-LN(J6)-LN(H12)-LN(B10)</f>
        <v>0</v>
      </c>
      <c r="J21" s="110"/>
      <c r="K21" s="45">
        <f>ABS(LN(J12))-LN(J12)</f>
        <v>1.386293432176241</v>
      </c>
    </row>
    <row r="22" spans="8:11" ht="20.100000000000001" customHeight="1" x14ac:dyDescent="0.25">
      <c r="H22" s="117"/>
      <c r="I22" s="45">
        <f>LN(J7)-LN(J8)-LN(J12)-LN(D10)</f>
        <v>1.4783729795908584E-12</v>
      </c>
      <c r="J22" s="110"/>
      <c r="K22" s="45">
        <f>ABS(LN(K12))-LN(K12)</f>
        <v>0</v>
      </c>
    </row>
    <row r="23" spans="8:11" ht="20.100000000000001" customHeight="1" x14ac:dyDescent="0.25">
      <c r="H23" s="117"/>
      <c r="I23" s="45">
        <f>LN(J7)-LN(J9)-LN(K12)-LN(E10)</f>
        <v>0</v>
      </c>
      <c r="J23" s="110"/>
      <c r="K23" s="45">
        <f>ABS(LN(K13))-LN(K13)</f>
        <v>0</v>
      </c>
    </row>
    <row r="24" spans="8:11" ht="20.100000000000001" customHeight="1" x14ac:dyDescent="0.25">
      <c r="H24" s="117"/>
      <c r="I24" s="45">
        <f>LN(J8)-LN(J6)-LN(H13)-LN(B11)</f>
        <v>0</v>
      </c>
      <c r="J24" s="110" t="s">
        <v>66</v>
      </c>
      <c r="K24" s="16">
        <f>ABS(LN(I11))-LN(H12)</f>
        <v>1.3862945449838551</v>
      </c>
    </row>
    <row r="25" spans="8:11" ht="20.100000000000001" customHeight="1" x14ac:dyDescent="0.25">
      <c r="H25" s="117"/>
      <c r="I25" s="45">
        <f>LN(J8)-LN(J7)-LN(I13)-LN(C11)</f>
        <v>-6.3763264601668368E-7</v>
      </c>
      <c r="J25" s="110"/>
      <c r="K25" s="16">
        <f>ABS(LN(J11))-LN(H13)</f>
        <v>1.314536487773499E-6</v>
      </c>
    </row>
    <row r="26" spans="8:11" ht="20.100000000000001" customHeight="1" x14ac:dyDescent="0.25">
      <c r="H26" s="117"/>
      <c r="I26" s="45">
        <f>LN(J8)-LN(J9)-LN(K13)-LN(E11)</f>
        <v>0</v>
      </c>
      <c r="J26" s="110"/>
      <c r="K26" s="45">
        <f>ABS(LN(K11))-LN(H14)</f>
        <v>0</v>
      </c>
    </row>
    <row r="27" spans="8:11" ht="20.100000000000001" customHeight="1" x14ac:dyDescent="0.25">
      <c r="H27" s="117"/>
      <c r="I27" s="45">
        <f>LN(J9)-LN(J6)-LN(H14)-LN(B12)</f>
        <v>0</v>
      </c>
      <c r="J27" s="110"/>
      <c r="K27" s="45">
        <f>ABS(LN(J12))-LN(I13)</f>
        <v>-6.3763116753268179E-7</v>
      </c>
    </row>
    <row r="28" spans="8:11" ht="20.100000000000001" customHeight="1" x14ac:dyDescent="0.25">
      <c r="H28" s="117"/>
      <c r="I28" s="45">
        <f>LN(J9)-LN(J7)-LN(I14)-LN(C12)</f>
        <v>-6.3763457769372422E-7</v>
      </c>
      <c r="J28" s="110"/>
      <c r="K28" s="16">
        <f>ABS(LN(K12))-LN(I14)</f>
        <v>1.3862933378947302</v>
      </c>
    </row>
    <row r="29" spans="8:11" ht="20.100000000000001" customHeight="1" x14ac:dyDescent="0.25">
      <c r="H29" s="117"/>
      <c r="I29" s="45">
        <f>LN(J9)-LN(J8)-LN(J14)-LN(D12)</f>
        <v>6.9899641630399856E-13</v>
      </c>
      <c r="J29" s="110"/>
      <c r="K29" s="45">
        <f>ABS(LN(K13))-LN(J14)</f>
        <v>0.57536283036707125</v>
      </c>
    </row>
    <row r="30" spans="8:11" ht="20.100000000000001" customHeight="1" x14ac:dyDescent="0.25">
      <c r="H30" s="56" t="s">
        <v>72</v>
      </c>
      <c r="I30" s="45">
        <f>LN(J6)</f>
        <v>0</v>
      </c>
      <c r="J30" s="110" t="s">
        <v>73</v>
      </c>
      <c r="K30" s="16">
        <f>ABS(LN(I11))</f>
        <v>0.69314717162861816</v>
      </c>
    </row>
    <row r="31" spans="8:11" ht="20.100000000000001" customHeight="1" x14ac:dyDescent="0.25">
      <c r="H31" s="110" t="s">
        <v>64</v>
      </c>
      <c r="I31" s="16">
        <f>LN(J6)-LN(J8)</f>
        <v>0.40546576537675916</v>
      </c>
      <c r="J31" s="110"/>
      <c r="K31" s="16">
        <f>ABS(LN(J11))</f>
        <v>6.5726789304939096E-7</v>
      </c>
    </row>
    <row r="32" spans="8:11" ht="20.100000000000001" customHeight="1" x14ac:dyDescent="0.25">
      <c r="H32" s="110"/>
      <c r="I32" s="16">
        <f>LN(J7)-LN(J8)</f>
        <v>0.4054655725814677</v>
      </c>
      <c r="J32" s="110"/>
      <c r="K32" s="45">
        <f>ABS(LN(K11))</f>
        <v>0</v>
      </c>
    </row>
    <row r="33" spans="8:11" ht="20.100000000000001" customHeight="1" x14ac:dyDescent="0.25">
      <c r="H33" s="110"/>
      <c r="I33" s="16">
        <f>LN(J7)-LN(J9)</f>
        <v>-1.9279529144254872E-7</v>
      </c>
      <c r="J33" s="110"/>
      <c r="K33" s="45">
        <f>ABS(LN(J12))</f>
        <v>0.69314671608812051</v>
      </c>
    </row>
    <row r="34" spans="8:11" ht="20.100000000000001" customHeight="1" x14ac:dyDescent="0.25">
      <c r="H34" s="57"/>
      <c r="I34" s="16">
        <f>ABS(LN(I11))+ABS(LN(J11))+ABS(LN(K11))+ABS(LN(J12))+ABS(LN(K12))+ABS(LN(K13))-I3</f>
        <v>0.69314527981533192</v>
      </c>
      <c r="J34" s="110"/>
      <c r="K34" s="16">
        <f>ABS(LN(K12))</f>
        <v>0.69314698776465411</v>
      </c>
    </row>
    <row r="35" spans="8:11" ht="20.100000000000001" customHeight="1" x14ac:dyDescent="0.25">
      <c r="H35" s="110" t="s">
        <v>78</v>
      </c>
      <c r="I35" s="16">
        <f>$H$16-ABS(LN(I11))</f>
        <v>-4.1074884005176671E-7</v>
      </c>
      <c r="J35" s="110"/>
      <c r="K35" s="45">
        <f>ABS(LN(K13))</f>
        <v>0.28768141518318613</v>
      </c>
    </row>
    <row r="36" spans="8:11" ht="20.100000000000001" customHeight="1" x14ac:dyDescent="0.25">
      <c r="H36" s="110"/>
      <c r="I36" s="16">
        <f>$H$16-ABS(LN(J11))</f>
        <v>0.69314610361188511</v>
      </c>
      <c r="J36" s="56" t="s">
        <v>79</v>
      </c>
      <c r="K36" s="16">
        <f>H16</f>
        <v>0.69314676087977811</v>
      </c>
    </row>
    <row r="37" spans="8:11" ht="20.100000000000001" customHeight="1" x14ac:dyDescent="0.25">
      <c r="H37" s="110"/>
      <c r="I37" s="16">
        <f>$H$16-ABS(LN(K11))</f>
        <v>0.69314676087977811</v>
      </c>
    </row>
    <row r="38" spans="8:11" ht="20.100000000000001" customHeight="1" x14ac:dyDescent="0.25">
      <c r="H38" s="110"/>
      <c r="I38" s="16">
        <f>$H$16-ABS(LN(J12))</f>
        <v>4.4791657605181001E-8</v>
      </c>
    </row>
    <row r="39" spans="8:11" ht="20.100000000000001" customHeight="1" x14ac:dyDescent="0.25">
      <c r="H39" s="110"/>
      <c r="I39" s="16">
        <f>$H$16-ABS(LN(K12))</f>
        <v>-2.2688487599786811E-7</v>
      </c>
    </row>
    <row r="40" spans="8:11" ht="20.100000000000001" customHeight="1" x14ac:dyDescent="0.25">
      <c r="H40" s="110"/>
      <c r="I40" s="16">
        <f>$H$16-ABS(LN(K13))</f>
        <v>0.40546534569659198</v>
      </c>
    </row>
  </sheetData>
  <mergeCells count="23">
    <mergeCell ref="A1:A2"/>
    <mergeCell ref="B1:B2"/>
    <mergeCell ref="C1:C4"/>
    <mergeCell ref="D1:D4"/>
    <mergeCell ref="H2:K2"/>
    <mergeCell ref="A3:A4"/>
    <mergeCell ref="B3:B4"/>
    <mergeCell ref="H4:K4"/>
    <mergeCell ref="J30:J35"/>
    <mergeCell ref="H31:H33"/>
    <mergeCell ref="H35:H40"/>
    <mergeCell ref="H16:K16"/>
    <mergeCell ref="H5:K5"/>
    <mergeCell ref="H6:I6"/>
    <mergeCell ref="H7:I7"/>
    <mergeCell ref="H8:I8"/>
    <mergeCell ref="H9:I9"/>
    <mergeCell ref="H10:K10"/>
    <mergeCell ref="H15:K15"/>
    <mergeCell ref="H17:K17"/>
    <mergeCell ref="H18:H29"/>
    <mergeCell ref="J18:J23"/>
    <mergeCell ref="J24:J2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C913B-6FC6-4A02-9058-9B4C9FDC4D82}">
  <sheetPr>
    <tabColor rgb="FF207A6F"/>
  </sheetPr>
  <dimension ref="A2:J8"/>
  <sheetViews>
    <sheetView showGridLines="0" zoomScale="80" zoomScaleNormal="80" workbookViewId="0">
      <selection activeCell="A3" sqref="A3"/>
    </sheetView>
  </sheetViews>
  <sheetFormatPr defaultColWidth="8.90625" defaultRowHeight="20.100000000000001" customHeight="1" x14ac:dyDescent="0.25"/>
  <cols>
    <col min="1" max="1" width="10.6328125" style="2" customWidth="1"/>
    <col min="2" max="8" width="16.6328125" style="2" customWidth="1"/>
    <col min="9" max="10" width="22.81640625" style="2" customWidth="1"/>
    <col min="11" max="16384" width="8.90625" style="2"/>
  </cols>
  <sheetData>
    <row r="2" spans="1:10" ht="20.100000000000001" customHeight="1" thickBot="1" x14ac:dyDescent="0.3"/>
    <row r="3" spans="1:10" ht="20.100000000000001" customHeight="1" x14ac:dyDescent="0.25">
      <c r="A3" s="59"/>
      <c r="B3" s="122" t="s">
        <v>80</v>
      </c>
      <c r="C3" s="123"/>
      <c r="D3" s="123"/>
      <c r="E3" s="123"/>
      <c r="F3" s="123"/>
      <c r="G3" s="123"/>
      <c r="H3" s="123"/>
      <c r="I3" s="123"/>
      <c r="J3" s="124"/>
    </row>
    <row r="4" spans="1:10" ht="20.100000000000001" customHeight="1" x14ac:dyDescent="0.25">
      <c r="A4" s="60"/>
      <c r="B4" s="18" t="s">
        <v>96</v>
      </c>
      <c r="C4" s="18" t="s">
        <v>81</v>
      </c>
      <c r="D4" s="18" t="s">
        <v>82</v>
      </c>
      <c r="E4" s="18" t="s">
        <v>83</v>
      </c>
      <c r="F4" s="18" t="s">
        <v>84</v>
      </c>
      <c r="G4" s="18" t="s">
        <v>95</v>
      </c>
      <c r="H4" s="11" t="s">
        <v>85</v>
      </c>
      <c r="I4" s="18" t="s">
        <v>93</v>
      </c>
      <c r="J4" s="61" t="s">
        <v>94</v>
      </c>
    </row>
    <row r="5" spans="1:10" ht="20.100000000000001" customHeight="1" x14ac:dyDescent="0.25">
      <c r="A5" s="62" t="s">
        <v>21</v>
      </c>
      <c r="B5" s="13" t="e" cm="1">
        <f t="array" aca="1" ref="B5:B8" ca="1">TRANSPOSE(_xlfn.ANCHORARRAY('Q1'!R6))</f>
        <v>#NAME?</v>
      </c>
      <c r="C5" s="13" cm="1">
        <f t="array" ref="C5:C8">'Q2'!I4:I7</f>
        <v>0.21052631578947367</v>
      </c>
      <c r="D5" s="13" cm="1">
        <f t="array" ref="D5:D8">'Q2'!I10:I13</f>
        <v>0.24561403508771926</v>
      </c>
      <c r="E5" s="13" cm="1">
        <f t="array" ref="E5:E8">'Q2'!M17:M20</f>
        <v>0.2195134575569358</v>
      </c>
      <c r="F5" s="13" cm="1">
        <f t="array" ref="F5:F8">'Q2'!I23:I26</f>
        <v>0.24154154068006362</v>
      </c>
      <c r="G5" s="13" cm="1">
        <f t="array" ref="G5:G8">TRANSPOSE('Q3'!H10:K10)</f>
        <v>0.2214860077674855</v>
      </c>
      <c r="H5" s="13" cm="1">
        <f t="array" ref="H5:H8">'Q4'!U9:U12</f>
        <v>0.28125</v>
      </c>
      <c r="I5" s="12" cm="1">
        <f t="array" ref="I5:I8">'Q5-1'!K6:K9</f>
        <v>0.24999992818772995</v>
      </c>
      <c r="J5" s="44" cm="1">
        <f t="array" ref="J5:J8">'Q5-2'!K6:K9</f>
        <v>0.27272731965924552</v>
      </c>
    </row>
    <row r="6" spans="1:10" ht="20.100000000000001" customHeight="1" x14ac:dyDescent="0.25">
      <c r="A6" s="62" t="s">
        <v>90</v>
      </c>
      <c r="B6" s="13" t="e">
        <f ca="1"/>
        <v>#NAME?</v>
      </c>
      <c r="C6" s="13">
        <v>0.34210526315789475</v>
      </c>
      <c r="D6" s="13">
        <v>0.20175438596491227</v>
      </c>
      <c r="E6" s="13">
        <v>0.31402691511387165</v>
      </c>
      <c r="F6" s="13">
        <v>0.34159132270623865</v>
      </c>
      <c r="G6" s="13">
        <v>0.28023940050545193</v>
      </c>
      <c r="H6" s="13">
        <v>0.28125</v>
      </c>
      <c r="I6" s="16">
        <v>0.37500019710236754</v>
      </c>
      <c r="J6" s="44">
        <v>0.27272726707870748</v>
      </c>
    </row>
    <row r="7" spans="1:10" ht="20.100000000000001" customHeight="1" x14ac:dyDescent="0.25">
      <c r="A7" s="62" t="s">
        <v>91</v>
      </c>
      <c r="B7" s="13" t="e">
        <f ca="1"/>
        <v>#NAME?</v>
      </c>
      <c r="C7" s="13">
        <v>0.13157894736842105</v>
      </c>
      <c r="D7" s="13">
        <v>0.39473684210526316</v>
      </c>
      <c r="E7" s="13">
        <v>0.13245341614906833</v>
      </c>
      <c r="F7" s="13">
        <v>0.14985315428791643</v>
      </c>
      <c r="G7" s="13">
        <v>0.13543652030113484</v>
      </c>
      <c r="H7" s="13">
        <v>0.15625000000000003</v>
      </c>
      <c r="I7" s="16">
        <v>0.12499994652217268</v>
      </c>
      <c r="J7" s="44">
        <v>0.18181809360280152</v>
      </c>
    </row>
    <row r="8" spans="1:10" ht="20.100000000000001" customHeight="1" thickBot="1" x14ac:dyDescent="0.3">
      <c r="A8" s="63" t="s">
        <v>92</v>
      </c>
      <c r="B8" s="64" t="e">
        <f ca="1"/>
        <v>#NAME?</v>
      </c>
      <c r="C8" s="64">
        <v>0.31578947368421051</v>
      </c>
      <c r="D8" s="64">
        <v>0.15789473684210525</v>
      </c>
      <c r="E8" s="64">
        <v>0.33400621118012419</v>
      </c>
      <c r="F8" s="64">
        <v>0.36706376435195631</v>
      </c>
      <c r="G8" s="64">
        <v>0.36283807142592756</v>
      </c>
      <c r="H8" s="64">
        <v>0.28125</v>
      </c>
      <c r="I8" s="65">
        <v>0.24999992818772995</v>
      </c>
      <c r="J8" s="58">
        <v>0.27272731965924552</v>
      </c>
    </row>
  </sheetData>
  <mergeCells count="1">
    <mergeCell ref="B3:J3"/>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Q1</vt:lpstr>
      <vt:lpstr>Q2</vt:lpstr>
      <vt:lpstr>Q3</vt:lpstr>
      <vt:lpstr>Q4</vt:lpstr>
      <vt:lpstr>Q5-1</vt:lpstr>
      <vt:lpstr>Q5-2</vt:lpstr>
      <vt:lpstr>Q6</vt:lpstr>
      <vt:lpstr>PCM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Reza Eskandari</cp:lastModifiedBy>
  <dcterms:created xsi:type="dcterms:W3CDTF">2025-03-30T07:54:50Z</dcterms:created>
  <dcterms:modified xsi:type="dcterms:W3CDTF">2026-09-05T20:51:59Z</dcterms:modified>
</cp:coreProperties>
</file>
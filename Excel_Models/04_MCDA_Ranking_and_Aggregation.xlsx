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y\term6\DM\Git\"/>
    </mc:Choice>
  </mc:AlternateContent>
  <xr:revisionPtr revIDLastSave="0" documentId="13_ncr:1_{48BA856C-A5A2-4EE1-B8CC-6B452E32CA27}" xr6:coauthVersionLast="47" xr6:coauthVersionMax="47" xr10:uidLastSave="{00000000-0000-0000-0000-000000000000}"/>
  <bookViews>
    <workbookView xWindow="-108" yWindow="-108" windowWidth="23256" windowHeight="12456" xr2:uid="{AD3ED4F2-E6C0-4D60-9E1C-D0B6A3A22784}"/>
  </bookViews>
  <sheets>
    <sheet name="Topsis-AHP" sheetId="1" r:id="rId1"/>
    <sheet name="VIKOR" sheetId="2" r:id="rId2"/>
    <sheet name="ELECTRE" sheetId="4" r:id="rId3"/>
    <sheet name="PROMETHEE" sheetId="5" r:id="rId4"/>
    <sheet name="Question5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/>
  <c r="C21" i="1"/>
  <c r="C19" i="1"/>
  <c r="H46" i="6"/>
  <c r="H47" i="6"/>
  <c r="H48" i="6"/>
  <c r="H49" i="6"/>
  <c r="H50" i="6"/>
  <c r="H45" i="6"/>
  <c r="H41" i="6"/>
  <c r="H40" i="6"/>
  <c r="H39" i="6"/>
  <c r="H38" i="6"/>
  <c r="H36" i="6"/>
  <c r="C33" i="6"/>
  <c r="D33" i="6"/>
  <c r="E33" i="6"/>
  <c r="F33" i="6"/>
  <c r="G33" i="6"/>
  <c r="B33" i="6"/>
  <c r="G23" i="6" l="1"/>
  <c r="G24" i="6"/>
  <c r="G22" i="6"/>
  <c r="F24" i="6"/>
  <c r="F23" i="6"/>
  <c r="F22" i="6"/>
  <c r="E24" i="6"/>
  <c r="E23" i="6"/>
  <c r="E22" i="6"/>
  <c r="E17" i="6"/>
  <c r="F17" i="6" s="1"/>
  <c r="E18" i="6"/>
  <c r="F18" i="6" s="1"/>
  <c r="E16" i="6"/>
  <c r="F16" i="6" s="1"/>
  <c r="A8" i="6"/>
  <c r="A9" i="6"/>
  <c r="B9" i="6"/>
  <c r="C9" i="6"/>
  <c r="D9" i="6"/>
  <c r="E9" i="6"/>
  <c r="F9" i="6"/>
  <c r="G9" i="6"/>
  <c r="A10" i="6"/>
  <c r="B10" i="6"/>
  <c r="C10" i="6"/>
  <c r="D10" i="6"/>
  <c r="F10" i="6"/>
  <c r="G10" i="6"/>
  <c r="A11" i="6"/>
  <c r="B11" i="6"/>
  <c r="C11" i="6"/>
  <c r="F11" i="6"/>
  <c r="G11" i="6"/>
  <c r="A12" i="6"/>
  <c r="B12" i="6"/>
  <c r="C12" i="6"/>
  <c r="D12" i="6"/>
  <c r="F12" i="6"/>
  <c r="G12" i="6"/>
  <c r="E10" i="6"/>
  <c r="E11" i="6"/>
  <c r="E12" i="6"/>
  <c r="D11" i="6"/>
  <c r="H10" i="6" l="1"/>
  <c r="H11" i="6"/>
  <c r="H12" i="6"/>
  <c r="I12" i="6" s="1"/>
  <c r="I10" i="6"/>
  <c r="C47" i="5"/>
  <c r="C48" i="5"/>
  <c r="C46" i="5"/>
  <c r="E48" i="5"/>
  <c r="E47" i="5"/>
  <c r="E46" i="5"/>
  <c r="D48" i="5"/>
  <c r="D47" i="5"/>
  <c r="D46" i="5"/>
  <c r="C38" i="5"/>
  <c r="C39" i="5"/>
  <c r="C40" i="5"/>
  <c r="C41" i="5"/>
  <c r="C42" i="5"/>
  <c r="C37" i="5"/>
  <c r="D4" i="5" a="1"/>
  <c r="D4" i="5" s="1"/>
  <c r="H29" i="5"/>
  <c r="H30" i="5"/>
  <c r="H31" i="5"/>
  <c r="H32" i="5"/>
  <c r="H33" i="5"/>
  <c r="H28" i="5"/>
  <c r="G29" i="5"/>
  <c r="G30" i="5"/>
  <c r="G31" i="5"/>
  <c r="G32" i="5"/>
  <c r="G33" i="5"/>
  <c r="G28" i="5"/>
  <c r="F29" i="5"/>
  <c r="F30" i="5"/>
  <c r="F31" i="5"/>
  <c r="F32" i="5"/>
  <c r="F33" i="5"/>
  <c r="F28" i="5"/>
  <c r="E29" i="5"/>
  <c r="E30" i="5"/>
  <c r="E31" i="5"/>
  <c r="E32" i="5"/>
  <c r="E33" i="5"/>
  <c r="E28" i="5"/>
  <c r="D28" i="5"/>
  <c r="D29" i="5"/>
  <c r="D30" i="5"/>
  <c r="D31" i="5"/>
  <c r="D32" i="5"/>
  <c r="D33" i="5"/>
  <c r="C29" i="5"/>
  <c r="C30" i="5"/>
  <c r="C31" i="5"/>
  <c r="C32" i="5"/>
  <c r="C33" i="5"/>
  <c r="C28" i="5"/>
  <c r="E19" i="5"/>
  <c r="F19" i="5"/>
  <c r="G19" i="5"/>
  <c r="H19" i="5"/>
  <c r="E20" i="5"/>
  <c r="F20" i="5"/>
  <c r="G20" i="5"/>
  <c r="H20" i="5"/>
  <c r="E21" i="5"/>
  <c r="F21" i="5"/>
  <c r="G21" i="5"/>
  <c r="H21" i="5"/>
  <c r="E22" i="5"/>
  <c r="F22" i="5"/>
  <c r="G22" i="5"/>
  <c r="H22" i="5"/>
  <c r="E23" i="5"/>
  <c r="F23" i="5"/>
  <c r="G23" i="5"/>
  <c r="H23" i="5"/>
  <c r="E24" i="5"/>
  <c r="F24" i="5"/>
  <c r="G24" i="5"/>
  <c r="H24" i="5"/>
  <c r="D24" i="5"/>
  <c r="D23" i="5"/>
  <c r="D22" i="5"/>
  <c r="D21" i="5"/>
  <c r="D20" i="5"/>
  <c r="D19" i="5"/>
  <c r="C24" i="5"/>
  <c r="C23" i="5"/>
  <c r="C22" i="5"/>
  <c r="C21" i="5"/>
  <c r="C20" i="5"/>
  <c r="C19" i="5"/>
  <c r="C58" i="4"/>
  <c r="E58" i="4"/>
  <c r="C59" i="4"/>
  <c r="D59" i="4"/>
  <c r="D57" i="4"/>
  <c r="E57" i="4"/>
  <c r="B44" i="4"/>
  <c r="D44" i="4"/>
  <c r="B45" i="4"/>
  <c r="C45" i="4"/>
  <c r="C43" i="4"/>
  <c r="D43" i="4"/>
  <c r="B51" i="4"/>
  <c r="D51" i="4"/>
  <c r="B52" i="4"/>
  <c r="C52" i="4"/>
  <c r="C50" i="4"/>
  <c r="D50" i="4"/>
  <c r="G51" i="4"/>
  <c r="G44" i="4"/>
  <c r="H38" i="4"/>
  <c r="I38" i="4"/>
  <c r="J37" i="4"/>
  <c r="H37" i="4"/>
  <c r="J36" i="4"/>
  <c r="I36" i="4"/>
  <c r="P36" i="4"/>
  <c r="Q36" i="4"/>
  <c r="R36" i="4"/>
  <c r="S36" i="4"/>
  <c r="T36" i="4"/>
  <c r="P37" i="4"/>
  <c r="Q37" i="4"/>
  <c r="R37" i="4"/>
  <c r="S37" i="4"/>
  <c r="T37" i="4"/>
  <c r="P38" i="4"/>
  <c r="Q38" i="4"/>
  <c r="R38" i="4"/>
  <c r="S38" i="4"/>
  <c r="T38" i="4"/>
  <c r="P39" i="4"/>
  <c r="Q39" i="4"/>
  <c r="R39" i="4"/>
  <c r="S39" i="4"/>
  <c r="T39" i="4"/>
  <c r="P40" i="4"/>
  <c r="Q40" i="4"/>
  <c r="R40" i="4"/>
  <c r="S40" i="4"/>
  <c r="T40" i="4"/>
  <c r="O40" i="4"/>
  <c r="O39" i="4"/>
  <c r="O38" i="4"/>
  <c r="O37" i="4"/>
  <c r="O36" i="4"/>
  <c r="P35" i="4"/>
  <c r="Q35" i="4"/>
  <c r="R35" i="4"/>
  <c r="S35" i="4"/>
  <c r="T35" i="4"/>
  <c r="O35" i="4"/>
  <c r="C38" i="4"/>
  <c r="B38" i="4"/>
  <c r="D37" i="4"/>
  <c r="B37" i="4"/>
  <c r="D36" i="4"/>
  <c r="C36" i="4"/>
  <c r="H21" i="4"/>
  <c r="G21" i="4"/>
  <c r="F21" i="4"/>
  <c r="N21" i="4" s="1"/>
  <c r="E21" i="4"/>
  <c r="M21" i="4" s="1"/>
  <c r="D21" i="4"/>
  <c r="L21" i="4" s="1"/>
  <c r="C21" i="4"/>
  <c r="K21" i="4" s="1"/>
  <c r="H20" i="4"/>
  <c r="G20" i="4"/>
  <c r="F20" i="4"/>
  <c r="N20" i="4" s="1"/>
  <c r="E20" i="4"/>
  <c r="M20" i="4" s="1"/>
  <c r="D20" i="4"/>
  <c r="L20" i="4" s="1"/>
  <c r="C20" i="4"/>
  <c r="K20" i="4" s="1"/>
  <c r="H19" i="4"/>
  <c r="G19" i="4"/>
  <c r="F19" i="4"/>
  <c r="N19" i="4" s="1"/>
  <c r="E19" i="4"/>
  <c r="M19" i="4" s="1"/>
  <c r="D19" i="4"/>
  <c r="L19" i="4" s="1"/>
  <c r="C19" i="4"/>
  <c r="K19" i="4" s="1"/>
  <c r="P16" i="4"/>
  <c r="P21" i="4" s="1"/>
  <c r="O16" i="4"/>
  <c r="O21" i="4" s="1"/>
  <c r="N16" i="4"/>
  <c r="M16" i="4"/>
  <c r="L16" i="4"/>
  <c r="K16" i="4"/>
  <c r="N48" i="2"/>
  <c r="N47" i="2"/>
  <c r="P42" i="2"/>
  <c r="P43" i="2"/>
  <c r="P41" i="2"/>
  <c r="O42" i="2"/>
  <c r="O43" i="2"/>
  <c r="O41" i="2"/>
  <c r="N42" i="2"/>
  <c r="N43" i="2"/>
  <c r="N41" i="2"/>
  <c r="H40" i="2"/>
  <c r="G40" i="2"/>
  <c r="F40" i="2"/>
  <c r="E40" i="2"/>
  <c r="C42" i="2" s="1"/>
  <c r="D26" i="2"/>
  <c r="D27" i="2"/>
  <c r="D25" i="2"/>
  <c r="C34" i="2"/>
  <c r="D34" i="2"/>
  <c r="E34" i="2"/>
  <c r="F34" i="2"/>
  <c r="G34" i="2"/>
  <c r="H34" i="2"/>
  <c r="C35" i="2"/>
  <c r="D35" i="2"/>
  <c r="E35" i="2"/>
  <c r="F35" i="2"/>
  <c r="G35" i="2"/>
  <c r="H35" i="2"/>
  <c r="D33" i="2"/>
  <c r="E33" i="2"/>
  <c r="F33" i="2"/>
  <c r="G33" i="2"/>
  <c r="H33" i="2"/>
  <c r="C33" i="2"/>
  <c r="C26" i="2"/>
  <c r="C27" i="2"/>
  <c r="C25" i="2"/>
  <c r="C30" i="2"/>
  <c r="D30" i="2"/>
  <c r="E30" i="2"/>
  <c r="F30" i="2"/>
  <c r="G30" i="2"/>
  <c r="H30" i="2"/>
  <c r="C31" i="2"/>
  <c r="D31" i="2"/>
  <c r="E31" i="2"/>
  <c r="F31" i="2"/>
  <c r="G31" i="2"/>
  <c r="H31" i="2"/>
  <c r="D29" i="2"/>
  <c r="E29" i="2"/>
  <c r="F29" i="2"/>
  <c r="G29" i="2"/>
  <c r="H29" i="2"/>
  <c r="C29" i="2"/>
  <c r="E21" i="2"/>
  <c r="F21" i="2"/>
  <c r="G21" i="2"/>
  <c r="H21" i="2"/>
  <c r="D21" i="2"/>
  <c r="E20" i="2"/>
  <c r="F20" i="2"/>
  <c r="G20" i="2"/>
  <c r="H20" i="2"/>
  <c r="D20" i="2"/>
  <c r="C21" i="2"/>
  <c r="C20" i="2"/>
  <c r="C16" i="2" a="1"/>
  <c r="C16" i="2"/>
  <c r="D16" i="2"/>
  <c r="E16" i="2"/>
  <c r="F16" i="2"/>
  <c r="G16" i="2"/>
  <c r="H16" i="2"/>
  <c r="L31" i="1"/>
  <c r="M31" i="1"/>
  <c r="N31" i="1"/>
  <c r="O31" i="1"/>
  <c r="P31" i="1"/>
  <c r="L32" i="1"/>
  <c r="M32" i="1"/>
  <c r="N32" i="1"/>
  <c r="O32" i="1"/>
  <c r="P32" i="1"/>
  <c r="L30" i="1"/>
  <c r="M30" i="1"/>
  <c r="N30" i="1"/>
  <c r="O30" i="1"/>
  <c r="P30" i="1"/>
  <c r="D31" i="1"/>
  <c r="E31" i="1"/>
  <c r="F31" i="1"/>
  <c r="G31" i="1"/>
  <c r="H31" i="1"/>
  <c r="D32" i="1"/>
  <c r="E32" i="1"/>
  <c r="F32" i="1"/>
  <c r="G32" i="1"/>
  <c r="H32" i="1"/>
  <c r="D30" i="1"/>
  <c r="E30" i="1"/>
  <c r="F30" i="1"/>
  <c r="G30" i="1"/>
  <c r="H30" i="1"/>
  <c r="E26" i="1"/>
  <c r="F26" i="1"/>
  <c r="G26" i="1"/>
  <c r="H26" i="1"/>
  <c r="D26" i="1"/>
  <c r="E25" i="1"/>
  <c r="F25" i="1"/>
  <c r="G25" i="1"/>
  <c r="H25" i="1"/>
  <c r="D25" i="1"/>
  <c r="K20" i="1"/>
  <c r="P16" i="1"/>
  <c r="O16" i="1"/>
  <c r="N16" i="1"/>
  <c r="M16" i="1"/>
  <c r="L16" i="1"/>
  <c r="K16" i="1"/>
  <c r="D20" i="1"/>
  <c r="L20" i="1" s="1"/>
  <c r="E20" i="1"/>
  <c r="M20" i="1" s="1"/>
  <c r="F20" i="1"/>
  <c r="G20" i="1"/>
  <c r="H20" i="1"/>
  <c r="P20" i="1" s="1"/>
  <c r="D21" i="1"/>
  <c r="E21" i="1"/>
  <c r="M21" i="1" s="1"/>
  <c r="F21" i="1"/>
  <c r="N21" i="1" s="1"/>
  <c r="G21" i="1"/>
  <c r="O21" i="1" s="1"/>
  <c r="H21" i="1"/>
  <c r="P21" i="1" s="1"/>
  <c r="D19" i="1"/>
  <c r="L19" i="1" s="1"/>
  <c r="E19" i="1"/>
  <c r="M19" i="1" s="1"/>
  <c r="F19" i="1"/>
  <c r="N19" i="1" s="1"/>
  <c r="G19" i="1"/>
  <c r="O19" i="1" s="1"/>
  <c r="H19" i="1"/>
  <c r="P19" i="1" s="1"/>
  <c r="I11" i="6" l="1"/>
  <c r="H5" i="5"/>
  <c r="G5" i="5"/>
  <c r="F5" i="5"/>
  <c r="I5" i="5"/>
  <c r="D5" i="5"/>
  <c r="F4" i="5"/>
  <c r="E4" i="5"/>
  <c r="E5" i="5"/>
  <c r="I4" i="5"/>
  <c r="H4" i="5"/>
  <c r="G4" i="5"/>
  <c r="O19" i="4"/>
  <c r="O20" i="4"/>
  <c r="P19" i="4"/>
  <c r="P20" i="4"/>
  <c r="C41" i="2"/>
  <c r="C43" i="2"/>
  <c r="O20" i="1"/>
  <c r="K19" i="1"/>
  <c r="L21" i="1"/>
  <c r="N20" i="1"/>
  <c r="K21" i="1"/>
  <c r="C25" i="1" l="1"/>
  <c r="C26" i="1"/>
  <c r="K32" i="1" l="1"/>
  <c r="T32" i="1" s="1"/>
  <c r="K31" i="1"/>
  <c r="T31" i="1" s="1"/>
  <c r="K30" i="1"/>
  <c r="T30" i="1" s="1"/>
  <c r="C32" i="1"/>
  <c r="S32" i="1" s="1"/>
  <c r="C31" i="1"/>
  <c r="S31" i="1" s="1"/>
  <c r="C30" i="1"/>
  <c r="S30" i="1" s="1"/>
  <c r="C38" i="1" l="1"/>
  <c r="C36" i="1"/>
  <c r="C37" i="1"/>
  <c r="D37" i="1" s="1"/>
  <c r="D36" i="1" l="1"/>
  <c r="D38" i="1"/>
</calcChain>
</file>

<file path=xl/sharedStrings.xml><?xml version="1.0" encoding="utf-8"?>
<sst xmlns="http://schemas.openxmlformats.org/spreadsheetml/2006/main" count="412" uniqueCount="140">
  <si>
    <t>Reza Eskandari</t>
  </si>
  <si>
    <r>
      <t xml:space="preserve">W </t>
    </r>
    <r>
      <rPr>
        <vertAlign val="subscript"/>
        <sz val="11"/>
        <color theme="1"/>
        <rFont val="Calibri"/>
        <family val="2"/>
        <scheme val="minor"/>
      </rPr>
      <t>price</t>
    </r>
  </si>
  <si>
    <r>
      <t>W</t>
    </r>
    <r>
      <rPr>
        <vertAlign val="subscript"/>
        <sz val="11"/>
        <color theme="1"/>
        <rFont val="Calibri"/>
        <family val="2"/>
        <scheme val="minor"/>
      </rPr>
      <t>body quality</t>
    </r>
  </si>
  <si>
    <r>
      <t>W</t>
    </r>
    <r>
      <rPr>
        <vertAlign val="subscript"/>
        <sz val="11"/>
        <color theme="1"/>
        <rFont val="Calibri"/>
        <family val="2"/>
        <scheme val="minor"/>
      </rPr>
      <t>airbag</t>
    </r>
  </si>
  <si>
    <r>
      <t>W</t>
    </r>
    <r>
      <rPr>
        <vertAlign val="subscript"/>
        <sz val="11"/>
        <color theme="1"/>
        <rFont val="Calibri"/>
        <family val="2"/>
        <scheme val="minor"/>
      </rPr>
      <t>fuel economy</t>
    </r>
  </si>
  <si>
    <r>
      <t>W</t>
    </r>
    <r>
      <rPr>
        <vertAlign val="subscript"/>
        <sz val="11"/>
        <color theme="1"/>
        <rFont val="Calibri"/>
        <family val="2"/>
        <scheme val="minor"/>
      </rPr>
      <t>max speed</t>
    </r>
  </si>
  <si>
    <r>
      <t>W</t>
    </r>
    <r>
      <rPr>
        <vertAlign val="subscript"/>
        <sz val="11"/>
        <color theme="1"/>
        <rFont val="Calibri"/>
        <family val="2"/>
        <scheme val="minor"/>
      </rPr>
      <t>engine capacity</t>
    </r>
  </si>
  <si>
    <t>weight of each criteria (AHP method)</t>
  </si>
  <si>
    <t>price</t>
  </si>
  <si>
    <t>body quality</t>
  </si>
  <si>
    <t>Airbag</t>
  </si>
  <si>
    <t>Fuel economy</t>
  </si>
  <si>
    <t>max speed</t>
  </si>
  <si>
    <t>engine capacity</t>
  </si>
  <si>
    <t>2024 Ford Mustang GT fastback</t>
  </si>
  <si>
    <t>2024 Nissan Z Nismo</t>
  </si>
  <si>
    <t>2025 Cadillac CT5 v</t>
  </si>
  <si>
    <t>DM matrix (values from HW3)</t>
  </si>
  <si>
    <r>
      <rPr>
        <b/>
        <sz val="11"/>
        <color theme="1"/>
        <rFont val="Calibri"/>
        <family val="2"/>
        <scheme val="minor"/>
      </rPr>
      <t>step1</t>
    </r>
    <r>
      <rPr>
        <sz val="11"/>
        <color theme="1"/>
        <rFont val="Calibri"/>
        <family val="2"/>
        <scheme val="minor"/>
      </rPr>
      <t>: Unscaling using the simple soft normalization method</t>
    </r>
  </si>
  <si>
    <r>
      <rPr>
        <b/>
        <sz val="11"/>
        <color theme="1"/>
        <rFont val="Calibri"/>
        <family val="2"/>
        <scheme val="minor"/>
      </rPr>
      <t>step2</t>
    </r>
    <r>
      <rPr>
        <sz val="11"/>
        <color theme="1"/>
        <rFont val="Calibri"/>
        <family val="2"/>
        <scheme val="minor"/>
      </rPr>
      <t xml:space="preserve"> : weighted matrix</t>
    </r>
  </si>
  <si>
    <t>A-</t>
  </si>
  <si>
    <r>
      <t>A</t>
    </r>
    <r>
      <rPr>
        <vertAlign val="superscript"/>
        <sz val="11"/>
        <color theme="1"/>
        <rFont val="Calibri"/>
        <family val="2"/>
        <scheme val="minor"/>
      </rPr>
      <t>+</t>
    </r>
  </si>
  <si>
    <r>
      <rPr>
        <b/>
        <sz val="11"/>
        <color theme="1"/>
        <rFont val="Calibri"/>
        <family val="2"/>
        <scheme val="minor"/>
      </rPr>
      <t>step3</t>
    </r>
    <r>
      <rPr>
        <sz val="11"/>
        <color theme="1"/>
        <rFont val="Calibri"/>
        <family val="2"/>
        <scheme val="minor"/>
      </rPr>
      <t xml:space="preserve"> : Determining the positive and negative ideal solutions</t>
    </r>
  </si>
  <si>
    <r>
      <t>r</t>
    </r>
    <r>
      <rPr>
        <vertAlign val="subscript"/>
        <sz val="11"/>
        <color theme="1"/>
        <rFont val="Calibri"/>
        <family val="2"/>
        <scheme val="minor"/>
      </rPr>
      <t>ij</t>
    </r>
  </si>
  <si>
    <r>
      <t>x</t>
    </r>
    <r>
      <rPr>
        <vertAlign val="subscript"/>
        <sz val="11"/>
        <color theme="1"/>
        <rFont val="Calibri"/>
        <family val="2"/>
        <scheme val="minor"/>
      </rPr>
      <t>ij</t>
    </r>
  </si>
  <si>
    <r>
      <t>v</t>
    </r>
    <r>
      <rPr>
        <vertAlign val="subscript"/>
        <sz val="11"/>
        <color theme="1"/>
        <rFont val="Calibri"/>
        <family val="2"/>
        <scheme val="minor"/>
      </rPr>
      <t>ij</t>
    </r>
  </si>
  <si>
    <r>
      <t>d</t>
    </r>
    <r>
      <rPr>
        <vertAlign val="subscript"/>
        <sz val="11"/>
        <color theme="1"/>
        <rFont val="Calibri"/>
        <family val="2"/>
        <scheme val="minor"/>
      </rPr>
      <t>ij</t>
    </r>
    <r>
      <rPr>
        <vertAlign val="superscript"/>
        <sz val="11"/>
        <color theme="1"/>
        <rFont val="Calibri"/>
        <family val="2"/>
        <scheme val="minor"/>
      </rPr>
      <t>+</t>
    </r>
  </si>
  <si>
    <r>
      <t>d</t>
    </r>
    <r>
      <rPr>
        <vertAlign val="subscript"/>
        <sz val="11"/>
        <color theme="1"/>
        <rFont val="Calibri"/>
        <family val="2"/>
        <scheme val="minor"/>
      </rPr>
      <t>ij</t>
    </r>
    <r>
      <rPr>
        <vertAlign val="superscript"/>
        <sz val="11"/>
        <color theme="1"/>
        <rFont val="Calibri"/>
        <family val="2"/>
        <scheme val="minor"/>
      </rPr>
      <t>-</t>
    </r>
  </si>
  <si>
    <r>
      <t>d</t>
    </r>
    <r>
      <rPr>
        <vertAlign val="subscript"/>
        <sz val="11"/>
        <color theme="1"/>
        <rFont val="Calibri"/>
        <family val="2"/>
        <scheme val="minor"/>
      </rPr>
      <t xml:space="preserve">i </t>
    </r>
    <r>
      <rPr>
        <vertAlign val="superscript"/>
        <sz val="11"/>
        <color theme="1"/>
        <rFont val="Calibri"/>
        <family val="2"/>
        <scheme val="minor"/>
      </rPr>
      <t>+</t>
    </r>
  </si>
  <si>
    <r>
      <t>d</t>
    </r>
    <r>
      <rPr>
        <vertAlign val="subscript"/>
        <sz val="11"/>
        <color theme="1"/>
        <rFont val="Calibri"/>
        <family val="2"/>
        <scheme val="minor"/>
      </rPr>
      <t xml:space="preserve">i </t>
    </r>
    <r>
      <rPr>
        <vertAlign val="superscript"/>
        <sz val="11"/>
        <color theme="1"/>
        <rFont val="Calibri"/>
        <family val="2"/>
        <scheme val="minor"/>
      </rPr>
      <t>-</t>
    </r>
  </si>
  <si>
    <r>
      <rPr>
        <b/>
        <sz val="11"/>
        <color theme="1"/>
        <rFont val="Calibri"/>
        <family val="2"/>
        <scheme val="minor"/>
      </rPr>
      <t>step4</t>
    </r>
    <r>
      <rPr>
        <sz val="11"/>
        <color theme="1"/>
        <rFont val="Calibri"/>
        <family val="2"/>
        <scheme val="minor"/>
      </rPr>
      <t>: Calculating the Euclidean distance of each alternative from the positive and negative ideal solutions</t>
    </r>
  </si>
  <si>
    <t>ε</t>
  </si>
  <si>
    <t>alternative</t>
  </si>
  <si>
    <r>
      <rPr>
        <b/>
        <sz val="11"/>
        <color theme="1"/>
        <rFont val="Calibri"/>
        <family val="2"/>
        <scheme val="minor"/>
      </rPr>
      <t>step5</t>
    </r>
    <r>
      <rPr>
        <sz val="11"/>
        <color theme="1"/>
        <rFont val="Calibri"/>
        <family val="2"/>
        <scheme val="minor"/>
      </rPr>
      <t>: relative closeness for each alternative</t>
    </r>
  </si>
  <si>
    <t>rank</t>
  </si>
  <si>
    <t>weight</t>
  </si>
  <si>
    <r>
      <t>f</t>
    </r>
    <r>
      <rPr>
        <vertAlign val="subscript"/>
        <sz val="11"/>
        <color theme="1"/>
        <rFont val="Calibri"/>
        <family val="2"/>
        <scheme val="minor"/>
      </rPr>
      <t>ij</t>
    </r>
  </si>
  <si>
    <r>
      <t>f</t>
    </r>
    <r>
      <rPr>
        <vertAlign val="superscript"/>
        <sz val="12"/>
        <color theme="1"/>
        <rFont val="Calibri"/>
        <family val="2"/>
        <scheme val="minor"/>
      </rPr>
      <t>+</t>
    </r>
  </si>
  <si>
    <r>
      <t>f</t>
    </r>
    <r>
      <rPr>
        <vertAlign val="superscript"/>
        <sz val="12"/>
        <color theme="1"/>
        <rFont val="Calibri"/>
        <family val="2"/>
        <scheme val="minor"/>
      </rPr>
      <t>-</t>
    </r>
  </si>
  <si>
    <r>
      <rPr>
        <b/>
        <sz val="11"/>
        <color theme="1"/>
        <rFont val="Calibri"/>
        <family val="2"/>
        <scheme val="minor"/>
      </rPr>
      <t>step1</t>
    </r>
    <r>
      <rPr>
        <sz val="11"/>
        <color theme="1"/>
        <rFont val="Calibri"/>
        <family val="2"/>
        <scheme val="minor"/>
      </rPr>
      <t>: Determining the best and worst scores for each criterion</t>
    </r>
  </si>
  <si>
    <r>
      <t>S</t>
    </r>
    <r>
      <rPr>
        <vertAlign val="subscript"/>
        <sz val="11"/>
        <color theme="1"/>
        <rFont val="Calibri"/>
        <family val="2"/>
        <scheme val="minor"/>
      </rPr>
      <t>i</t>
    </r>
  </si>
  <si>
    <r>
      <t>R</t>
    </r>
    <r>
      <rPr>
        <vertAlign val="subscript"/>
        <sz val="11"/>
        <color theme="1"/>
        <rFont val="Calibri"/>
        <family val="2"/>
        <scheme val="minor"/>
      </rPr>
      <t>i</t>
    </r>
  </si>
  <si>
    <r>
      <rPr>
        <b/>
        <sz val="11"/>
        <color theme="1"/>
        <rFont val="Calibri"/>
        <family val="2"/>
        <scheme val="minor"/>
      </rPr>
      <t>step2</t>
    </r>
    <r>
      <rPr>
        <sz val="11"/>
        <color theme="1"/>
        <rFont val="Calibri"/>
        <family val="2"/>
        <scheme val="minor"/>
      </rPr>
      <t>: Calculating the group average score S and the worst group score R</t>
    </r>
  </si>
  <si>
    <r>
      <t>S</t>
    </r>
    <r>
      <rPr>
        <vertAlign val="superscript"/>
        <sz val="11"/>
        <color theme="1"/>
        <rFont val="Calibri"/>
        <family val="2"/>
        <scheme val="minor"/>
      </rPr>
      <t>+</t>
    </r>
  </si>
  <si>
    <r>
      <t>S</t>
    </r>
    <r>
      <rPr>
        <vertAlign val="superscript"/>
        <sz val="11"/>
        <color theme="1"/>
        <rFont val="Calibri"/>
        <family val="2"/>
        <scheme val="minor"/>
      </rPr>
      <t>-</t>
    </r>
  </si>
  <si>
    <r>
      <t>R</t>
    </r>
    <r>
      <rPr>
        <vertAlign val="superscript"/>
        <sz val="11"/>
        <color theme="1"/>
        <rFont val="Calibri"/>
        <family val="2"/>
        <scheme val="minor"/>
      </rPr>
      <t>+</t>
    </r>
  </si>
  <si>
    <r>
      <t>R</t>
    </r>
    <r>
      <rPr>
        <vertAlign val="superscript"/>
        <sz val="11"/>
        <color theme="1"/>
        <rFont val="Calibri"/>
        <family val="2"/>
        <scheme val="minor"/>
      </rPr>
      <t>-</t>
    </r>
  </si>
  <si>
    <t>γ</t>
  </si>
  <si>
    <r>
      <t>Q</t>
    </r>
    <r>
      <rPr>
        <vertAlign val="subscript"/>
        <sz val="11"/>
        <color theme="1"/>
        <rFont val="Calibri"/>
        <family val="2"/>
        <scheme val="minor"/>
      </rPr>
      <t>i</t>
    </r>
  </si>
  <si>
    <r>
      <rPr>
        <b/>
        <sz val="11"/>
        <color theme="1"/>
        <rFont val="Calibri"/>
        <family val="2"/>
        <scheme val="minor"/>
      </rPr>
      <t>step3</t>
    </r>
    <r>
      <rPr>
        <sz val="11"/>
        <color theme="1"/>
        <rFont val="Calibri"/>
        <family val="2"/>
        <scheme val="minor"/>
      </rPr>
      <t xml:space="preserve">: Calculating Q for each alternative based on R and 𝑆 </t>
    </r>
  </si>
  <si>
    <t>rank based on:</t>
  </si>
  <si>
    <t>S</t>
  </si>
  <si>
    <t>R</t>
  </si>
  <si>
    <t>Q</t>
  </si>
  <si>
    <r>
      <rPr>
        <b/>
        <sz val="11"/>
        <color theme="1"/>
        <rFont val="Calibri"/>
        <family val="2"/>
        <scheme val="minor"/>
      </rPr>
      <t>step4</t>
    </r>
    <r>
      <rPr>
        <sz val="11"/>
        <color theme="1"/>
        <rFont val="Calibri"/>
        <family val="2"/>
        <scheme val="minor"/>
      </rPr>
      <t>: Ranking the alternatives in descending order based on S , R and Q</t>
    </r>
  </si>
  <si>
    <t>DQ</t>
  </si>
  <si>
    <r>
      <rPr>
        <b/>
        <sz val="11"/>
        <color theme="1"/>
        <rFont val="Calibri"/>
        <family val="2"/>
        <scheme val="minor"/>
      </rPr>
      <t>step5</t>
    </r>
    <r>
      <rPr>
        <sz val="11"/>
        <color theme="1"/>
        <rFont val="Calibri"/>
        <family val="2"/>
        <scheme val="minor"/>
      </rPr>
      <t>: Selecting the compromise solution (the best alternative)</t>
    </r>
  </si>
  <si>
    <r>
      <t>Q</t>
    </r>
    <r>
      <rPr>
        <vertAlign val="subscript"/>
        <sz val="11"/>
        <color theme="1"/>
        <rFont val="Calibri"/>
        <family val="2"/>
        <scheme val="minor"/>
      </rPr>
      <t>[2]</t>
    </r>
    <r>
      <rPr>
        <sz val="11"/>
        <color theme="1"/>
        <rFont val="Calibri"/>
        <family val="2"/>
        <scheme val="minor"/>
      </rPr>
      <t>-Q</t>
    </r>
    <r>
      <rPr>
        <vertAlign val="subscript"/>
        <sz val="11"/>
        <color theme="1"/>
        <rFont val="Calibri"/>
        <family val="2"/>
        <scheme val="minor"/>
      </rPr>
      <t>[1]</t>
    </r>
  </si>
  <si>
    <r>
      <t>S</t>
    </r>
    <r>
      <rPr>
        <vertAlign val="subscript"/>
        <sz val="11"/>
        <color theme="1"/>
        <rFont val="Calibri"/>
        <family val="2"/>
        <scheme val="minor"/>
      </rPr>
      <t>12</t>
    </r>
  </si>
  <si>
    <r>
      <t>S</t>
    </r>
    <r>
      <rPr>
        <vertAlign val="subscript"/>
        <sz val="11"/>
        <color theme="1"/>
        <rFont val="Calibri"/>
        <family val="2"/>
        <scheme val="minor"/>
      </rPr>
      <t>13</t>
    </r>
  </si>
  <si>
    <r>
      <t>S</t>
    </r>
    <r>
      <rPr>
        <vertAlign val="subscript"/>
        <sz val="11"/>
        <color theme="1"/>
        <rFont val="Calibri"/>
        <family val="2"/>
        <scheme val="minor"/>
      </rPr>
      <t>21</t>
    </r>
  </si>
  <si>
    <r>
      <t>S</t>
    </r>
    <r>
      <rPr>
        <vertAlign val="subscript"/>
        <sz val="11"/>
        <color theme="1"/>
        <rFont val="Calibri"/>
        <family val="2"/>
        <scheme val="minor"/>
      </rPr>
      <t>23</t>
    </r>
  </si>
  <si>
    <r>
      <t>S</t>
    </r>
    <r>
      <rPr>
        <vertAlign val="subscript"/>
        <sz val="11"/>
        <color theme="1"/>
        <rFont val="Calibri"/>
        <family val="2"/>
        <scheme val="minor"/>
      </rPr>
      <t>31</t>
    </r>
  </si>
  <si>
    <r>
      <t>S</t>
    </r>
    <r>
      <rPr>
        <vertAlign val="subscript"/>
        <sz val="11"/>
        <color theme="1"/>
        <rFont val="Calibri"/>
        <family val="2"/>
        <scheme val="minor"/>
      </rPr>
      <t>32</t>
    </r>
  </si>
  <si>
    <t>concordance sets</t>
  </si>
  <si>
    <t>disconcordance sets</t>
  </si>
  <si>
    <r>
      <t>D</t>
    </r>
    <r>
      <rPr>
        <vertAlign val="subscript"/>
        <sz val="11"/>
        <color theme="1"/>
        <rFont val="Calibri"/>
        <family val="2"/>
        <scheme val="minor"/>
      </rPr>
      <t>12</t>
    </r>
  </si>
  <si>
    <r>
      <t>D</t>
    </r>
    <r>
      <rPr>
        <vertAlign val="subscript"/>
        <sz val="11"/>
        <color theme="1"/>
        <rFont val="Calibri"/>
        <family val="2"/>
        <scheme val="minor"/>
      </rPr>
      <t>13</t>
    </r>
  </si>
  <si>
    <r>
      <t>D</t>
    </r>
    <r>
      <rPr>
        <vertAlign val="subscript"/>
        <sz val="11"/>
        <color theme="1"/>
        <rFont val="Calibri"/>
        <family val="2"/>
        <scheme val="minor"/>
      </rPr>
      <t>21</t>
    </r>
  </si>
  <si>
    <r>
      <t>D</t>
    </r>
    <r>
      <rPr>
        <vertAlign val="subscript"/>
        <sz val="11"/>
        <color theme="1"/>
        <rFont val="Calibri"/>
        <family val="2"/>
        <scheme val="minor"/>
      </rPr>
      <t>23</t>
    </r>
  </si>
  <si>
    <r>
      <t>D</t>
    </r>
    <r>
      <rPr>
        <vertAlign val="subscript"/>
        <sz val="11"/>
        <color theme="1"/>
        <rFont val="Calibri"/>
        <family val="2"/>
        <scheme val="minor"/>
      </rPr>
      <t>31</t>
    </r>
  </si>
  <si>
    <r>
      <t>D</t>
    </r>
    <r>
      <rPr>
        <vertAlign val="subscript"/>
        <sz val="11"/>
        <color theme="1"/>
        <rFont val="Calibri"/>
        <family val="2"/>
        <scheme val="minor"/>
      </rPr>
      <t>32</t>
    </r>
  </si>
  <si>
    <r>
      <rPr>
        <b/>
        <sz val="11"/>
        <color theme="1"/>
        <rFont val="Calibri"/>
        <family val="2"/>
        <scheme val="minor"/>
      </rPr>
      <t>step3</t>
    </r>
    <r>
      <rPr>
        <sz val="11"/>
        <color theme="1"/>
        <rFont val="Calibri"/>
        <family val="2"/>
        <scheme val="minor"/>
      </rPr>
      <t>: Forming the concordance and discordance sets</t>
    </r>
  </si>
  <si>
    <r>
      <rPr>
        <b/>
        <sz val="11"/>
        <color theme="1"/>
        <rFont val="Calibri"/>
        <family val="2"/>
        <scheme val="minor"/>
      </rPr>
      <t>step4</t>
    </r>
    <r>
      <rPr>
        <sz val="11"/>
        <color theme="1"/>
        <rFont val="Calibri"/>
        <family val="2"/>
        <scheme val="minor"/>
      </rPr>
      <t>: calculating matrix I</t>
    </r>
  </si>
  <si>
    <r>
      <rPr>
        <b/>
        <sz val="11"/>
        <color theme="1"/>
        <rFont val="Calibri"/>
        <family val="2"/>
        <scheme val="minor"/>
      </rPr>
      <t>step5</t>
    </r>
    <r>
      <rPr>
        <sz val="11"/>
        <color theme="1"/>
        <rFont val="Calibri"/>
        <family val="2"/>
        <scheme val="minor"/>
      </rPr>
      <t>: Calculating matrix NI</t>
    </r>
  </si>
  <si>
    <t>v1j - v2j</t>
  </si>
  <si>
    <t>v1j - v3j</t>
  </si>
  <si>
    <t>v2j - v1j</t>
  </si>
  <si>
    <t>v2j - v3j</t>
  </si>
  <si>
    <t>v3j - v2j</t>
  </si>
  <si>
    <t>v3j - v1j</t>
  </si>
  <si>
    <t>I bar:</t>
  </si>
  <si>
    <t>-</t>
  </si>
  <si>
    <t>_</t>
  </si>
  <si>
    <r>
      <rPr>
        <b/>
        <sz val="11"/>
        <color theme="1"/>
        <rFont val="Calibri"/>
        <family val="2"/>
        <scheme val="minor"/>
      </rPr>
      <t>step6</t>
    </r>
    <r>
      <rPr>
        <sz val="11"/>
        <color theme="1"/>
        <rFont val="Calibri"/>
        <family val="2"/>
        <scheme val="minor"/>
      </rPr>
      <t>: calculating matrix F</t>
    </r>
  </si>
  <si>
    <t>NI bar:</t>
  </si>
  <si>
    <r>
      <rPr>
        <b/>
        <sz val="11"/>
        <color theme="1"/>
        <rFont val="Calibri"/>
        <family val="2"/>
        <scheme val="minor"/>
      </rPr>
      <t>step7</t>
    </r>
    <r>
      <rPr>
        <sz val="11"/>
        <color theme="1"/>
        <rFont val="Calibri"/>
        <family val="2"/>
        <scheme val="minor"/>
      </rPr>
      <t>: calculating matrix G</t>
    </r>
  </si>
  <si>
    <r>
      <rPr>
        <b/>
        <sz val="11"/>
        <color theme="1"/>
        <rFont val="Calibri"/>
        <family val="2"/>
        <scheme val="minor"/>
      </rPr>
      <t>step8</t>
    </r>
    <r>
      <rPr>
        <sz val="11"/>
        <color theme="1"/>
        <rFont val="Calibri"/>
        <family val="2"/>
        <scheme val="minor"/>
      </rPr>
      <t>: calculating matrix Δ</t>
    </r>
  </si>
  <si>
    <t>ford , nissan</t>
  </si>
  <si>
    <t>ford , cadillac</t>
  </si>
  <si>
    <t>nissan , cadillac</t>
  </si>
  <si>
    <t>nissan , ford</t>
  </si>
  <si>
    <t>cadillac , ford</t>
  </si>
  <si>
    <t>cadillac , nissan</t>
  </si>
  <si>
    <r>
      <t>d</t>
    </r>
    <r>
      <rPr>
        <vertAlign val="subscript"/>
        <sz val="11"/>
        <color theme="1"/>
        <rFont val="Calibri"/>
        <family val="2"/>
        <scheme val="minor"/>
      </rPr>
      <t>j</t>
    </r>
  </si>
  <si>
    <t>π</t>
  </si>
  <si>
    <t>transpose of weight of each criteria (AHP method)</t>
  </si>
  <si>
    <t>global preference</t>
  </si>
  <si>
    <r>
      <t>preference function-p</t>
    </r>
    <r>
      <rPr>
        <vertAlign val="subscript"/>
        <sz val="11"/>
        <color theme="1"/>
        <rFont val="Calibri"/>
        <family val="2"/>
        <scheme val="minor"/>
      </rPr>
      <t>j</t>
    </r>
  </si>
  <si>
    <r>
      <t>ϕ</t>
    </r>
    <r>
      <rPr>
        <b/>
        <vertAlign val="superscript"/>
        <sz val="12"/>
        <color theme="1"/>
        <rFont val="Calibri"/>
        <family val="2"/>
        <scheme val="minor"/>
      </rPr>
      <t>+</t>
    </r>
    <r>
      <rPr>
        <b/>
        <sz val="12"/>
        <color theme="1"/>
        <rFont val="Calibri"/>
        <family val="2"/>
        <scheme val="minor"/>
      </rPr>
      <t>(a)</t>
    </r>
  </si>
  <si>
    <r>
      <t>ϕ</t>
    </r>
    <r>
      <rPr>
        <b/>
        <vertAlign val="superscript"/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(a)</t>
    </r>
  </si>
  <si>
    <t>ϕ(a)</t>
  </si>
  <si>
    <t>گزینه ها</t>
  </si>
  <si>
    <t>روش ها</t>
  </si>
  <si>
    <t>AHP</t>
  </si>
  <si>
    <t>ANP</t>
  </si>
  <si>
    <t>Topsis-AHP</t>
  </si>
  <si>
    <t>VIKOR</t>
  </si>
  <si>
    <t>ELECTRE</t>
  </si>
  <si>
    <t>PROMETHEE</t>
  </si>
  <si>
    <t>روش میانگین</t>
  </si>
  <si>
    <t>میانگین رتبه ها</t>
  </si>
  <si>
    <t>رتبه بندی نهایی بر اساس S</t>
  </si>
  <si>
    <t>رتبه بندی نهایی با توجه به میانگین رتبه ها</t>
  </si>
  <si>
    <t>BORDA METHOD</t>
  </si>
  <si>
    <t>COPELAND METHOD</t>
  </si>
  <si>
    <t>S-S'</t>
  </si>
  <si>
    <t>S'</t>
  </si>
  <si>
    <t>روش ها + رتبه ها</t>
  </si>
  <si>
    <r>
      <t>W</t>
    </r>
    <r>
      <rPr>
        <vertAlign val="subscript"/>
        <sz val="11"/>
        <color theme="1"/>
        <rFont val="Calibri"/>
        <family val="2"/>
        <scheme val="minor"/>
      </rPr>
      <t>j</t>
    </r>
  </si>
  <si>
    <t>REGIME METHOD</t>
  </si>
  <si>
    <t>step1</t>
  </si>
  <si>
    <t>E˜ ford-cadillad</t>
  </si>
  <si>
    <t>E˜ nissan-ford</t>
  </si>
  <si>
    <t>E˜ nissan-cadillac</t>
  </si>
  <si>
    <t>E˜ cadillac-ford</t>
  </si>
  <si>
    <t>E˜ cadillac-nissan</t>
  </si>
  <si>
    <t>step2</t>
  </si>
  <si>
    <t>step3</t>
  </si>
  <si>
    <t>step4 - ماتریس اثرات</t>
  </si>
  <si>
    <t xml:space="preserve">2024 Ford Mustang GT </t>
  </si>
  <si>
    <t>E ford-nissan</t>
  </si>
  <si>
    <t>E ford-cadillad</t>
  </si>
  <si>
    <t>E nissan-ford</t>
  </si>
  <si>
    <t>E nissan-cadillac</t>
  </si>
  <si>
    <t>E cadillac-ford</t>
  </si>
  <si>
    <t>E cadillac-nissan</t>
  </si>
  <si>
    <t>step5: REGIME matrix</t>
  </si>
  <si>
    <t>step6(E bar)</t>
  </si>
  <si>
    <r>
      <t>E</t>
    </r>
    <r>
      <rPr>
        <b/>
        <vertAlign val="superscript"/>
        <sz val="11"/>
        <color theme="1"/>
        <rFont val="Calibri"/>
        <family val="2"/>
      </rPr>
      <t>˜</t>
    </r>
    <r>
      <rPr>
        <b/>
        <sz val="11"/>
        <color theme="1"/>
        <rFont val="Calibri"/>
        <family val="2"/>
        <scheme val="minor"/>
      </rPr>
      <t xml:space="preserve"> ford-nissan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</si>
</sst>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_);_([$$-409]* \(#,##0\);_([$$-409]* &quot;-&quot;??_);_(@_)"/>
    <numFmt numFmtId="165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vertAlign val="superscript"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0" fillId="2" borderId="7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5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 applyAlignment="1">
      <alignment horizontal="center" vertical="center"/>
    </xf>
    <xf numFmtId="0" fontId="0" fillId="3" borderId="4" xfId="0" applyFill="1" applyBorder="1"/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/>
    <xf numFmtId="0" fontId="0" fillId="3" borderId="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164" fontId="0" fillId="3" borderId="7" xfId="0" applyNumberForma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164" fontId="0" fillId="3" borderId="13" xfId="0" applyNumberForma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4" borderId="10" xfId="0" applyFill="1" applyBorder="1"/>
    <xf numFmtId="0" fontId="0" fillId="4" borderId="14" xfId="0" applyFill="1" applyBorder="1"/>
    <xf numFmtId="0" fontId="0" fillId="4" borderId="11" xfId="0" applyFill="1" applyBorder="1"/>
    <xf numFmtId="0" fontId="0" fillId="4" borderId="1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0" fillId="4" borderId="15" xfId="0" applyFill="1" applyBorder="1"/>
    <xf numFmtId="0" fontId="0" fillId="4" borderId="16" xfId="0" applyFill="1" applyBorder="1" applyAlignment="1">
      <alignment horizontal="left" vertical="center"/>
    </xf>
    <xf numFmtId="0" fontId="0" fillId="4" borderId="16" xfId="0" applyFill="1" applyBorder="1"/>
    <xf numFmtId="0" fontId="0" fillId="4" borderId="17" xfId="0" applyFill="1" applyBorder="1"/>
    <xf numFmtId="0" fontId="0" fillId="4" borderId="9" xfId="0" applyFill="1" applyBorder="1"/>
    <xf numFmtId="0" fontId="0" fillId="4" borderId="18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13" xfId="0" applyFill="1" applyBorder="1"/>
    <xf numFmtId="0" fontId="0" fillId="0" borderId="7" xfId="0" applyBorder="1"/>
    <xf numFmtId="0" fontId="0" fillId="0" borderId="1" xfId="0" applyBorder="1"/>
    <xf numFmtId="0" fontId="0" fillId="0" borderId="4" xfId="0" applyBorder="1"/>
    <xf numFmtId="0" fontId="0" fillId="0" borderId="13" xfId="0" applyBorder="1"/>
    <xf numFmtId="0" fontId="0" fillId="0" borderId="6" xfId="0" applyBorder="1"/>
    <xf numFmtId="0" fontId="0" fillId="3" borderId="1" xfId="0" applyFill="1" applyBorder="1"/>
    <xf numFmtId="0" fontId="0" fillId="3" borderId="12" xfId="0" applyFill="1" applyBorder="1"/>
    <xf numFmtId="0" fontId="0" fillId="3" borderId="24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15" xfId="0" applyBorder="1"/>
    <xf numFmtId="0" fontId="0" fillId="0" borderId="19" xfId="0" applyBorder="1"/>
    <xf numFmtId="0" fontId="0" fillId="0" borderId="9" xfId="0" applyBorder="1"/>
    <xf numFmtId="0" fontId="0" fillId="0" borderId="18" xfId="0" applyBorder="1"/>
    <xf numFmtId="0" fontId="7" fillId="3" borderId="3" xfId="0" applyFont="1" applyFill="1" applyBorder="1"/>
    <xf numFmtId="0" fontId="7" fillId="3" borderId="5" xfId="0" applyFont="1" applyFill="1" applyBorder="1"/>
    <xf numFmtId="0" fontId="0" fillId="0" borderId="12" xfId="0" applyBorder="1"/>
    <xf numFmtId="0" fontId="0" fillId="0" borderId="2" xfId="0" applyBorder="1"/>
    <xf numFmtId="165" fontId="0" fillId="3" borderId="7" xfId="0" applyNumberFormat="1" applyFill="1" applyBorder="1"/>
    <xf numFmtId="165" fontId="0" fillId="3" borderId="13" xfId="0" applyNumberFormat="1" applyFill="1" applyBorder="1"/>
    <xf numFmtId="0" fontId="0" fillId="4" borderId="7" xfId="0" applyFill="1" applyBorder="1"/>
    <xf numFmtId="0" fontId="0" fillId="0" borderId="16" xfId="0" applyBorder="1"/>
    <xf numFmtId="0" fontId="0" fillId="0" borderId="17" xfId="0" applyBorder="1"/>
    <xf numFmtId="0" fontId="0" fillId="0" borderId="25" xfId="0" applyBorder="1"/>
    <xf numFmtId="0" fontId="0" fillId="0" borderId="26" xfId="0" applyBorder="1"/>
    <xf numFmtId="0" fontId="0" fillId="0" borderId="5" xfId="0" applyBorder="1"/>
    <xf numFmtId="0" fontId="0" fillId="0" borderId="27" xfId="0" applyBorder="1"/>
    <xf numFmtId="0" fontId="0" fillId="0" borderId="28" xfId="0" applyBorder="1"/>
    <xf numFmtId="0" fontId="0" fillId="0" borderId="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3" borderId="31" xfId="0" applyFill="1" applyBorder="1" applyAlignment="1">
      <alignment horizontal="center" vertical="center" wrapText="1"/>
    </xf>
    <xf numFmtId="164" fontId="0" fillId="3" borderId="32" xfId="0" applyNumberFormat="1" applyFill="1" applyBorder="1" applyAlignment="1">
      <alignment horizontal="center" vertical="center" wrapText="1"/>
    </xf>
    <xf numFmtId="0" fontId="0" fillId="3" borderId="32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0" borderId="34" xfId="0" applyBorder="1"/>
    <xf numFmtId="0" fontId="0" fillId="0" borderId="35" xfId="0" applyBorder="1"/>
    <xf numFmtId="0" fontId="0" fillId="0" borderId="3" xfId="0" applyBorder="1"/>
    <xf numFmtId="0" fontId="0" fillId="3" borderId="3" xfId="0" applyFill="1" applyBorder="1"/>
    <xf numFmtId="0" fontId="0" fillId="0" borderId="7" xfId="0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4" borderId="16" xfId="0" applyFill="1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5" borderId="7" xfId="0" applyFill="1" applyBorder="1"/>
    <xf numFmtId="0" fontId="12" fillId="4" borderId="7" xfId="0" applyFont="1" applyFill="1" applyBorder="1"/>
    <xf numFmtId="0" fontId="4" fillId="3" borderId="7" xfId="0" applyFont="1" applyFill="1" applyBorder="1"/>
    <xf numFmtId="0" fontId="4" fillId="3" borderId="4" xfId="0" applyFont="1" applyFill="1" applyBorder="1"/>
    <xf numFmtId="0" fontId="4" fillId="3" borderId="13" xfId="0" applyFont="1" applyFill="1" applyBorder="1"/>
    <xf numFmtId="0" fontId="4" fillId="3" borderId="6" xfId="0" applyFont="1" applyFill="1" applyBorder="1"/>
    <xf numFmtId="164" fontId="4" fillId="3" borderId="7" xfId="0" applyNumberFormat="1" applyFont="1" applyFill="1" applyBorder="1"/>
    <xf numFmtId="164" fontId="11" fillId="3" borderId="7" xfId="0" applyNumberFormat="1" applyFont="1" applyFill="1" applyBorder="1"/>
    <xf numFmtId="164" fontId="0" fillId="3" borderId="7" xfId="0" applyNumberFormat="1" applyFill="1" applyBorder="1"/>
    <xf numFmtId="164" fontId="0" fillId="3" borderId="13" xfId="0" applyNumberFormat="1" applyFill="1" applyBorder="1"/>
    <xf numFmtId="0" fontId="0" fillId="0" borderId="37" xfId="0" applyBorder="1" applyAlignment="1">
      <alignment horizontal="left" vertical="center"/>
    </xf>
    <xf numFmtId="0" fontId="0" fillId="0" borderId="38" xfId="0" applyBorder="1"/>
    <xf numFmtId="0" fontId="0" fillId="0" borderId="39" xfId="0" applyBorder="1"/>
    <xf numFmtId="0" fontId="0" fillId="4" borderId="29" xfId="0" applyFill="1" applyBorder="1"/>
    <xf numFmtId="0" fontId="0" fillId="0" borderId="41" xfId="0" applyBorder="1"/>
    <xf numFmtId="0" fontId="0" fillId="3" borderId="41" xfId="0" applyFill="1" applyBorder="1" applyAlignment="1">
      <alignment horizontal="center" vertical="center" wrapText="1"/>
    </xf>
    <xf numFmtId="0" fontId="0" fillId="3" borderId="30" xfId="0" applyFill="1" applyBorder="1" applyAlignment="1">
      <alignment horizontal="center" vertical="center" wrapText="1"/>
    </xf>
    <xf numFmtId="0" fontId="0" fillId="0" borderId="42" xfId="0" applyBorder="1"/>
    <xf numFmtId="0" fontId="0" fillId="6" borderId="0" xfId="0" applyFill="1"/>
    <xf numFmtId="0" fontId="0" fillId="6" borderId="0" xfId="0" applyFill="1" applyAlignment="1">
      <alignment horizontal="center" vertical="center"/>
    </xf>
    <xf numFmtId="0" fontId="0" fillId="3" borderId="43" xfId="0" applyFill="1" applyBorder="1" applyAlignment="1">
      <alignment horizontal="center" vertical="center" wrapText="1"/>
    </xf>
    <xf numFmtId="0" fontId="0" fillId="3" borderId="44" xfId="0" applyFill="1" applyBorder="1" applyAlignment="1">
      <alignment horizontal="center" vertical="center" wrapText="1"/>
    </xf>
    <xf numFmtId="0" fontId="0" fillId="3" borderId="45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0" borderId="46" xfId="0" applyBorder="1"/>
    <xf numFmtId="0" fontId="0" fillId="0" borderId="3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3" borderId="26" xfId="0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/>
    </xf>
    <xf numFmtId="0" fontId="11" fillId="3" borderId="3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0" fontId="0" fillId="4" borderId="16" xfId="0" applyFill="1" applyBorder="1" applyAlignment="1">
      <alignment horizontal="left"/>
    </xf>
    <xf numFmtId="0" fontId="0" fillId="4" borderId="17" xfId="0" applyFill="1" applyBorder="1" applyAlignment="1">
      <alignment horizontal="left"/>
    </xf>
    <xf numFmtId="0" fontId="0" fillId="4" borderId="20" xfId="0" applyFill="1" applyBorder="1"/>
    <xf numFmtId="0" fontId="0" fillId="3" borderId="36" xfId="0" applyFill="1" applyBorder="1"/>
    <xf numFmtId="0" fontId="0" fillId="3" borderId="28" xfId="0" applyFill="1" applyBorder="1"/>
    <xf numFmtId="0" fontId="0" fillId="4" borderId="21" xfId="0" applyFill="1" applyBorder="1"/>
    <xf numFmtId="0" fontId="0" fillId="7" borderId="29" xfId="0" applyFill="1" applyBorder="1"/>
    <xf numFmtId="0" fontId="0" fillId="7" borderId="41" xfId="0" applyFill="1" applyBorder="1"/>
    <xf numFmtId="0" fontId="14" fillId="7" borderId="41" xfId="0" applyFont="1" applyFill="1" applyBorder="1"/>
    <xf numFmtId="0" fontId="14" fillId="7" borderId="30" xfId="0" applyFont="1" applyFill="1" applyBorder="1"/>
    <xf numFmtId="0" fontId="15" fillId="6" borderId="15" xfId="0" applyFont="1" applyFill="1" applyBorder="1"/>
    <xf numFmtId="0" fontId="15" fillId="6" borderId="16" xfId="0" applyFont="1" applyFill="1" applyBorder="1"/>
    <xf numFmtId="0" fontId="15" fillId="6" borderId="16" xfId="0" applyFont="1" applyFill="1" applyBorder="1" applyAlignment="1">
      <alignment horizontal="right"/>
    </xf>
    <xf numFmtId="0" fontId="15" fillId="6" borderId="16" xfId="0" applyFont="1" applyFill="1" applyBorder="1" applyAlignment="1">
      <alignment horizontal="center" vertical="center"/>
    </xf>
    <xf numFmtId="0" fontId="15" fillId="6" borderId="17" xfId="0" applyFont="1" applyFill="1" applyBorder="1"/>
    <xf numFmtId="0" fontId="16" fillId="0" borderId="0" xfId="0" applyFont="1" applyAlignment="1">
      <alignment horizontal="center"/>
    </xf>
    <xf numFmtId="0" fontId="0" fillId="7" borderId="30" xfId="0" applyFill="1" applyBorder="1"/>
    <xf numFmtId="0" fontId="2" fillId="8" borderId="3" xfId="0" applyFont="1" applyFill="1" applyBorder="1" applyAlignment="1">
      <alignment horizontal="center" vertical="center" wrapText="1"/>
    </xf>
    <xf numFmtId="0" fontId="2" fillId="8" borderId="3" xfId="0" applyFont="1" applyFill="1" applyBorder="1"/>
    <xf numFmtId="0" fontId="2" fillId="8" borderId="5" xfId="0" applyFont="1" applyFill="1" applyBorder="1"/>
    <xf numFmtId="0" fontId="4" fillId="4" borderId="10" xfId="0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  <xf numFmtId="0" fontId="0" fillId="4" borderId="20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jpe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101484</xdr:colOff>
      <xdr:row>28</xdr:row>
      <xdr:rowOff>166686</xdr:rowOff>
    </xdr:from>
    <xdr:to>
      <xdr:col>10</xdr:col>
      <xdr:colOff>225652</xdr:colOff>
      <xdr:row>30</xdr:row>
      <xdr:rowOff>246062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794DA3-BE7C-FBE7-8543-A14CA35E8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21172" y="7873999"/>
          <a:ext cx="1346543" cy="992189"/>
        </a:xfrm>
        <a:prstGeom prst="rect">
          <a:avLst/>
        </a:prstGeom>
      </xdr:spPr>
    </xdr:pic>
    <xdr:clientData/>
  </xdr:twoCellAnchor>
  <xdr:twoCellAnchor editAs="oneCell">
    <xdr:from>
      <xdr:col>8</xdr:col>
      <xdr:colOff>23813</xdr:colOff>
      <xdr:row>32</xdr:row>
      <xdr:rowOff>147643</xdr:rowOff>
    </xdr:from>
    <xdr:to>
      <xdr:col>10</xdr:col>
      <xdr:colOff>573549</xdr:colOff>
      <xdr:row>34</xdr:row>
      <xdr:rowOff>220114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2B302A-D637-19DF-D4A7-91F3A6319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26716" y="9332611"/>
          <a:ext cx="1762381" cy="990148"/>
        </a:xfrm>
        <a:prstGeom prst="rect">
          <a:avLst/>
        </a:prstGeom>
      </xdr:spPr>
    </xdr:pic>
    <xdr:clientData/>
  </xdr:twoCellAnchor>
  <xdr:twoCellAnchor editAs="oneCell">
    <xdr:from>
      <xdr:col>3</xdr:col>
      <xdr:colOff>555112</xdr:colOff>
      <xdr:row>40</xdr:row>
      <xdr:rowOff>242604</xdr:rowOff>
    </xdr:from>
    <xdr:to>
      <xdr:col>9</xdr:col>
      <xdr:colOff>128380</xdr:colOff>
      <xdr:row>42</xdr:row>
      <xdr:rowOff>165909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10AA1E-9A60-79DA-3CB6-3B6B68BC5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0470" y="11780434"/>
          <a:ext cx="3239495" cy="836267"/>
        </a:xfrm>
        <a:prstGeom prst="rect">
          <a:avLst/>
        </a:prstGeom>
      </xdr:spPr>
    </xdr:pic>
    <xdr:clientData/>
  </xdr:twoCellAnchor>
  <xdr:twoCellAnchor>
    <xdr:from>
      <xdr:col>14</xdr:col>
      <xdr:colOff>51564</xdr:colOff>
      <xdr:row>45</xdr:row>
      <xdr:rowOff>131774</xdr:rowOff>
    </xdr:from>
    <xdr:to>
      <xdr:col>18</xdr:col>
      <xdr:colOff>338030</xdr:colOff>
      <xdr:row>50</xdr:row>
      <xdr:rowOff>126045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B60EDD4-320E-6B38-C1FA-AB1EE4AD8C1C}"/>
            </a:ext>
          </a:extLst>
        </xdr:cNvPr>
        <xdr:cNvSpPr txBox="1"/>
      </xdr:nvSpPr>
      <xdr:spPr>
        <a:xfrm>
          <a:off x="9252857" y="13280571"/>
          <a:ext cx="2715699" cy="92815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since</a:t>
          </a:r>
          <a:r>
            <a:rPr lang="en-US" sz="1100" baseline="0"/>
            <a:t> the first and the second conditions apply, we can choose Q[1] (cadillac) as our best alternative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14514</xdr:colOff>
      <xdr:row>55</xdr:row>
      <xdr:rowOff>29029</xdr:rowOff>
    </xdr:from>
    <xdr:to>
      <xdr:col>12</xdr:col>
      <xdr:colOff>326571</xdr:colOff>
      <xdr:row>55</xdr:row>
      <xdr:rowOff>841829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62ED2F7-B53E-A28E-9449-98CD8F2D2723}"/>
            </a:ext>
          </a:extLst>
        </xdr:cNvPr>
        <xdr:cNvSpPr txBox="1"/>
      </xdr:nvSpPr>
      <xdr:spPr>
        <a:xfrm>
          <a:off x="4281714" y="13875658"/>
          <a:ext cx="3360057" cy="8128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according to matrix </a:t>
          </a:r>
          <a:r>
            <a:rPr lang="el-GR" sz="1100"/>
            <a:t>Δ</a:t>
          </a:r>
          <a:r>
            <a:rPr lang="en-US" sz="1100"/>
            <a:t>, option</a:t>
          </a:r>
          <a:r>
            <a:rPr lang="en-US" sz="1100" baseline="0"/>
            <a:t> 3 outperforms the other two options.</a:t>
          </a:r>
        </a:p>
        <a:p>
          <a:r>
            <a:rPr lang="en-US" sz="1100" baseline="0"/>
            <a:t>A3 &gt; A2 &gt; A1</a:t>
          </a:r>
        </a:p>
        <a:p>
          <a:r>
            <a:rPr lang="en-US" sz="1100" baseline="0"/>
            <a:t>cadillac &gt; nissan &gt; ford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388652</xdr:colOff>
      <xdr:row>0</xdr:row>
      <xdr:rowOff>1</xdr:rowOff>
    </xdr:from>
    <xdr:to>
      <xdr:col>15</xdr:col>
      <xdr:colOff>583635</xdr:colOff>
      <xdr:row>13</xdr:row>
      <xdr:rowOff>483467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8070A5-77EE-7CDF-2110-E240A5BF8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6081" y="1"/>
          <a:ext cx="4449482" cy="427532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15</xdr:col>
      <xdr:colOff>591766</xdr:colOff>
      <xdr:row>0</xdr:row>
      <xdr:rowOff>24320</xdr:rowOff>
    </xdr:from>
    <xdr:to>
      <xdr:col>24</xdr:col>
      <xdr:colOff>28601</xdr:colOff>
      <xdr:row>13</xdr:row>
      <xdr:rowOff>108697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EEC218-804E-67B5-08B5-582B30705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57362" y="24320"/>
          <a:ext cx="4908644" cy="387005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5</xdr:col>
      <xdr:colOff>129346</xdr:colOff>
      <xdr:row>44</xdr:row>
      <xdr:rowOff>118076</xdr:rowOff>
    </xdr:from>
    <xdr:to>
      <xdr:col>11</xdr:col>
      <xdr:colOff>308723</xdr:colOff>
      <xdr:row>47</xdr:row>
      <xdr:rowOff>186064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1CC0DB-E252-0D99-5A95-7C1238E04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71953" y="10445897"/>
          <a:ext cx="3853306" cy="119738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24</xdr:col>
      <xdr:colOff>103442</xdr:colOff>
      <xdr:row>1</xdr:row>
      <xdr:rowOff>20698</xdr:rowOff>
    </xdr:from>
    <xdr:to>
      <xdr:col>29</xdr:col>
      <xdr:colOff>30484</xdr:colOff>
      <xdr:row>12</xdr:row>
      <xdr:rowOff>387900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717705-C428-295A-FA86-915541CCA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171724" y="203149"/>
          <a:ext cx="2985774" cy="303956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29</xdr:col>
      <xdr:colOff>46885</xdr:colOff>
      <xdr:row>1</xdr:row>
      <xdr:rowOff>8599</xdr:rowOff>
    </xdr:from>
    <xdr:to>
      <xdr:col>34</xdr:col>
      <xdr:colOff>64054</xdr:colOff>
      <xdr:row>12</xdr:row>
      <xdr:rowOff>430474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069291-A3FD-1CA2-C6F7-CD2BED944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080885" y="191715"/>
          <a:ext cx="3059262" cy="312136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0</xdr:col>
      <xdr:colOff>580566</xdr:colOff>
      <xdr:row>48</xdr:row>
      <xdr:rowOff>24517</xdr:rowOff>
    </xdr:from>
    <xdr:to>
      <xdr:col>12</xdr:col>
      <xdr:colOff>440335</xdr:colOff>
      <xdr:row>59</xdr:row>
      <xdr:rowOff>15050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FE00AD1-13DD-DACD-E514-EF7FEE7C4000}"/>
            </a:ext>
          </a:extLst>
        </xdr:cNvPr>
        <xdr:cNvSpPr txBox="1"/>
      </xdr:nvSpPr>
      <xdr:spPr>
        <a:xfrm>
          <a:off x="580566" y="11849124"/>
          <a:ext cx="7588626" cy="193635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promethee</a:t>
          </a:r>
          <a:r>
            <a:rPr lang="en-US" sz="1600" baseline="0"/>
            <a:t> 1: </a:t>
          </a:r>
          <a:br>
            <a:rPr lang="en-US" sz="1600" baseline="0"/>
          </a:br>
          <a:br>
            <a:rPr lang="en-US" sz="1600" baseline="0"/>
          </a:br>
          <a:r>
            <a:rPr lang="el-G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ϕ+(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Cadillac) &gt; </a:t>
          </a:r>
          <a:r>
            <a:rPr lang="el-G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ϕ+(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Ford) and </a:t>
          </a:r>
          <a:r>
            <a:rPr lang="el-G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ϕ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l-G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Cadillac) &lt; </a:t>
          </a:r>
          <a:r>
            <a:rPr lang="el-G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ϕ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l-G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Ford) than: cadillac</a:t>
          </a:r>
          <a:r>
            <a:rPr lang="en-US" sz="2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ford</a:t>
          </a:r>
          <a:b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l-G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ϕ+(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Cadillac) &gt; </a:t>
          </a:r>
          <a:r>
            <a:rPr lang="el-G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ϕ+(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nissan) and </a:t>
          </a:r>
          <a:r>
            <a:rPr lang="el-G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ϕ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l-G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Cadillac) &lt; </a:t>
          </a:r>
          <a:r>
            <a:rPr lang="el-G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ϕ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l-G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nissan) than: cadillac</a:t>
          </a: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lang="en-US" sz="16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nissan</a:t>
          </a:r>
          <a:b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l-G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ϕ+(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ford) &gt; </a:t>
          </a:r>
          <a:r>
            <a:rPr lang="el-G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ϕ+(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nissan) and </a:t>
          </a:r>
          <a:r>
            <a:rPr lang="el-G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ϕ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l-G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nissan) &lt; </a:t>
          </a:r>
          <a:r>
            <a:rPr lang="el-G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ϕ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l-G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Ford) than: nissan</a:t>
          </a: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ford</a:t>
          </a:r>
          <a:b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sz="1600"/>
        </a:p>
      </xdr:txBody>
    </xdr:sp>
    <xdr:clientData/>
  </xdr:twoCellAnchor>
  <xdr:twoCellAnchor>
    <xdr:from>
      <xdr:col>0</xdr:col>
      <xdr:colOff>607780</xdr:colOff>
      <xdr:row>59</xdr:row>
      <xdr:rowOff>66178</xdr:rowOff>
    </xdr:from>
    <xdr:to>
      <xdr:col>9</xdr:col>
      <xdr:colOff>87140</xdr:colOff>
      <xdr:row>67</xdr:row>
      <xdr:rowOff>91027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3D42458-AF7A-3225-BBAF-1AEC671CCAA2}"/>
            </a:ext>
          </a:extLst>
        </xdr:cNvPr>
        <xdr:cNvSpPr txBox="1"/>
      </xdr:nvSpPr>
      <xdr:spPr>
        <a:xfrm>
          <a:off x="607780" y="13836607"/>
          <a:ext cx="5371253" cy="143999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promethee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2: </a:t>
          </a:r>
          <a:b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l-G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ϕ(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Cadillac) &gt; </a:t>
          </a:r>
          <a:r>
            <a:rPr lang="el-G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ϕ(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Ford) than: cadillac</a:t>
          </a: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ford</a:t>
          </a:r>
          <a:b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l-G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ϕ(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Cadillac) &gt; </a:t>
          </a:r>
          <a:r>
            <a:rPr lang="el-G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ϕ(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nissan) than: cadillac</a:t>
          </a: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lang="en-US" sz="16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nissan</a:t>
          </a:r>
          <a:b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l-G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ϕ(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ford) &gt; </a:t>
          </a:r>
          <a:r>
            <a:rPr lang="el-GR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ϕ(</a:t>
          </a:r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nissan) than: ford</a:t>
          </a:r>
          <a:r>
            <a:rPr lang="en-US" sz="1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en-US" sz="16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nissan</a:t>
          </a:r>
          <a:b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sz="1600">
            <a:effectLst/>
          </a:endParaRPr>
        </a:p>
        <a:p>
          <a:endParaRPr lang="en-US" sz="1600"/>
        </a:p>
      </xdr:txBody>
    </xdr:sp>
    <xdr:clientData/>
  </xdr:twoCellAnchor>
  <xdr:twoCellAnchor editAs="oneCell">
    <xdr:from>
      <xdr:col>8</xdr:col>
      <xdr:colOff>549819</xdr:colOff>
      <xdr:row>13</xdr:row>
      <xdr:rowOff>507999</xdr:rowOff>
    </xdr:from>
    <xdr:to>
      <xdr:col>17</xdr:col>
      <xdr:colOff>133684</xdr:colOff>
      <xdr:row>43</xdr:row>
      <xdr:rowOff>26437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2E8CAFC-4337-0D30-BE50-2B62AB48A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7082" y="4291262"/>
          <a:ext cx="5118391" cy="6055596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 editAs="oneCell">
    <xdr:from>
      <xdr:col>34</xdr:col>
      <xdr:colOff>213895</xdr:colOff>
      <xdr:row>1</xdr:row>
      <xdr:rowOff>66842</xdr:rowOff>
    </xdr:from>
    <xdr:to>
      <xdr:col>41</xdr:col>
      <xdr:colOff>249240</xdr:colOff>
      <xdr:row>14</xdr:row>
      <xdr:rowOff>175292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755859E-55E3-564C-BE88-AC105E38A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509790" y="254000"/>
          <a:ext cx="4339976" cy="425266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19</xdr:col>
      <xdr:colOff>205946</xdr:colOff>
      <xdr:row>15</xdr:row>
      <xdr:rowOff>0</xdr:rowOff>
    </xdr:from>
    <xdr:to>
      <xdr:col>35</xdr:col>
      <xdr:colOff>99934</xdr:colOff>
      <xdr:row>33</xdr:row>
      <xdr:rowOff>28222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2C42BA8-8A05-D841-03B5-8F966B15DCE7}"/>
            </a:ext>
          </a:extLst>
        </xdr:cNvPr>
        <xdr:cNvSpPr txBox="1"/>
      </xdr:nvSpPr>
      <xdr:spPr>
        <a:xfrm>
          <a:off x="12129835" y="4727222"/>
          <a:ext cx="9602432" cy="37958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1"/>
          <a:r>
            <a:rPr lang="fa-IR" sz="1800" b="1"/>
            <a:t>تحلیل تصاویر</a:t>
          </a:r>
          <a:r>
            <a:rPr lang="fa-IR" sz="1800" b="1" baseline="0"/>
            <a:t> و نمودار های نرم افزار </a:t>
          </a:r>
          <a:r>
            <a:rPr lang="en-US" sz="1800" b="1" baseline="0"/>
            <a:t>PROMETHEE</a:t>
          </a:r>
          <a:r>
            <a:rPr lang="fa-IR" sz="1800" b="1" baseline="0"/>
            <a:t>:</a:t>
          </a:r>
          <a:br>
            <a:rPr lang="fa-IR" sz="1600"/>
          </a:br>
          <a:r>
            <a:rPr lang="fa-IR" sz="1600"/>
            <a:t>شکل شبکه یا </a:t>
          </a:r>
          <a:r>
            <a:rPr lang="en-US" sz="1600"/>
            <a:t>promethee network</a:t>
          </a:r>
          <a:r>
            <a:rPr lang="fa-IR" sz="1600"/>
            <a:t> نشان میدهد </a:t>
          </a:r>
          <a:r>
            <a:rPr lang="en-US" sz="1600"/>
            <a:t>cadillac</a:t>
          </a:r>
          <a:r>
            <a:rPr lang="fa-IR" sz="1600"/>
            <a:t> بهترین انتخاب است. چرا که بین تمام گزینه ها بیشترین فی مثبت و کمترین فی منفی را دارد.</a:t>
          </a:r>
          <a:r>
            <a:rPr lang="fa-IR" sz="1600" baseline="0"/>
            <a:t> یا این حال مقایسه دو گزینه دیگر یعنی </a:t>
          </a:r>
          <a:r>
            <a:rPr lang="en-US" sz="1600" baseline="0"/>
            <a:t>nissan</a:t>
          </a:r>
          <a:r>
            <a:rPr lang="fa-IR" sz="1600" baseline="0"/>
            <a:t> و </a:t>
          </a:r>
          <a:r>
            <a:rPr lang="en-US" sz="1600" baseline="0"/>
            <a:t>ford</a:t>
          </a:r>
          <a:r>
            <a:rPr lang="fa-IR" sz="1600" baseline="0"/>
            <a:t> با </a:t>
          </a:r>
          <a:r>
            <a:rPr lang="en-US" sz="1600" baseline="0"/>
            <a:t>promethee1</a:t>
          </a:r>
          <a:r>
            <a:rPr lang="fa-IR" sz="1600" baseline="0"/>
            <a:t> امکانپذیر نمیباشد. به این علت که </a:t>
          </a:r>
          <a:r>
            <a:rPr lang="en-US" sz="1600" baseline="0"/>
            <a:t>ford</a:t>
          </a:r>
          <a:r>
            <a:rPr lang="fa-IR" sz="1600" baseline="0"/>
            <a:t> هم فی مثبت و هم فی منفی بیشتری از </a:t>
          </a:r>
          <a:r>
            <a:rPr lang="en-US" sz="1600" baseline="0"/>
            <a:t>nissan</a:t>
          </a:r>
          <a:r>
            <a:rPr lang="fa-IR" sz="1600" baseline="0"/>
            <a:t> دارد.</a:t>
          </a:r>
        </a:p>
        <a:p>
          <a:pPr rtl="1"/>
          <a:r>
            <a:rPr lang="fa-IR" sz="1600" baseline="0"/>
            <a:t>در رابطه با نمودار </a:t>
          </a:r>
          <a:r>
            <a:rPr lang="en-US" sz="1600" baseline="0"/>
            <a:t>GAIA</a:t>
          </a:r>
          <a:r>
            <a:rPr lang="fa-IR" sz="1600" baseline="0"/>
            <a:t>، مشاهئه میشود که محور های </a:t>
          </a:r>
          <a:r>
            <a:rPr lang="en-US" sz="1600" baseline="0"/>
            <a:t>price</a:t>
          </a:r>
          <a:r>
            <a:rPr lang="fa-IR" sz="1600" baseline="0"/>
            <a:t> و </a:t>
          </a:r>
          <a:r>
            <a:rPr lang="en-US" sz="1600" baseline="0"/>
            <a:t>max speed</a:t>
          </a:r>
          <a:r>
            <a:rPr lang="fa-IR" sz="1600" baseline="0"/>
            <a:t> به خودروی </a:t>
          </a:r>
          <a:r>
            <a:rPr lang="en-US" sz="1600" baseline="0"/>
            <a:t>ford</a:t>
          </a:r>
          <a:r>
            <a:rPr lang="fa-IR" sz="1600" baseline="0"/>
            <a:t> نزدیک تر هستند به این معنا که این گزینه در این دو معیار پیشتاز است. همین تحلیل را برای دیگر محور های هر معیار نیز میتوان بکار برد. </a:t>
          </a:r>
          <a:r>
            <a:rPr lang="en-US" sz="1600" baseline="0"/>
            <a:t>nissan</a:t>
          </a:r>
          <a:r>
            <a:rPr lang="fa-IR" sz="1600" baseline="0"/>
            <a:t> در معیار </a:t>
          </a:r>
          <a:r>
            <a:rPr lang="en-US" sz="1600" baseline="0"/>
            <a:t>max speed</a:t>
          </a:r>
          <a:r>
            <a:rPr lang="fa-IR" sz="1600" baseline="0"/>
            <a:t> پیشتاز است و </a:t>
          </a:r>
          <a:r>
            <a:rPr lang="en-US" sz="1600" baseline="0"/>
            <a:t>cadillac</a:t>
          </a:r>
          <a:r>
            <a:rPr lang="fa-IR" sz="1600" baseline="0"/>
            <a:t> نیز در بقیه معیار ها شامل </a:t>
          </a:r>
          <a:r>
            <a:rPr lang="en-US" sz="1600" baseline="0"/>
            <a:t>fuel economy, body quality</a:t>
          </a:r>
          <a:r>
            <a:rPr lang="fa-IR" sz="1600" baseline="0"/>
            <a:t> و </a:t>
          </a:r>
          <a:r>
            <a:rPr lang="en-US" sz="1600" baseline="0"/>
            <a:t>Airbag</a:t>
          </a:r>
          <a:r>
            <a:rPr lang="fa-IR" sz="1600" baseline="0"/>
            <a:t>. همچنین محور قرمز یا همان بردار تصمیم (</a:t>
          </a:r>
          <a:r>
            <a:rPr lang="el-GR" sz="1600" baseline="0"/>
            <a:t>π</a:t>
          </a:r>
          <a:r>
            <a:rPr lang="fa-IR" sz="1600" baseline="0"/>
            <a:t>) </a:t>
          </a:r>
          <a:r>
            <a:rPr lang="fa-IR" sz="1600"/>
            <a:t>نمایانگر ترکیب وزن‌دارِ معیارهای تصمیم‌گیرنده است. هر گزینه ‌ای که بیشترین فاصله از مبدا را  در جهت محور تصمیم  داشته باشد، در رده‌بندی </a:t>
          </a:r>
          <a:r>
            <a:rPr lang="en-US" sz="1600"/>
            <a:t>PROMETHEE </a:t>
          </a:r>
          <a:r>
            <a:rPr lang="fa-IR" sz="1600"/>
            <a:t> در جایگاه بالاتری قرار می‌گیرد. که با توجه به شکل،</a:t>
          </a:r>
          <a:r>
            <a:rPr lang="fa-IR" sz="1600" baseline="0"/>
            <a:t> </a:t>
          </a:r>
          <a:r>
            <a:rPr lang="en-US" sz="1600" baseline="0"/>
            <a:t>cadillac</a:t>
          </a:r>
          <a:r>
            <a:rPr lang="fa-IR" sz="1600" baseline="0"/>
            <a:t> جایگاه بالاتری نسبت به دیگر گزینه ها دارد.</a:t>
          </a:r>
          <a:br>
            <a:rPr lang="fa-IR" sz="1600" baseline="0"/>
          </a:br>
          <a:br>
            <a:rPr lang="fa-IR" sz="1600" baseline="0"/>
          </a:br>
          <a:r>
            <a:rPr lang="fa-IR" sz="1600" u="sng" baseline="0"/>
            <a:t>توجه: توابع ترجیح بکار برده شده، در شکل مقابل بصورت دستی رسم شده اند.</a:t>
          </a:r>
          <a:endParaRPr lang="en-US" sz="1600" u="sng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104273</xdr:colOff>
      <xdr:row>29</xdr:row>
      <xdr:rowOff>107853</xdr:rowOff>
    </xdr:from>
    <xdr:to>
      <xdr:col>21</xdr:col>
      <xdr:colOff>444117</xdr:colOff>
      <xdr:row>32</xdr:row>
      <xdr:rowOff>8020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3DAFEA-D319-1A6D-D95F-0C311EDBA299}"/>
            </a:ext>
          </a:extLst>
        </xdr:cNvPr>
        <xdr:cNvSpPr txBox="1"/>
      </xdr:nvSpPr>
      <xdr:spPr>
        <a:xfrm>
          <a:off x="10122568" y="11321285"/>
          <a:ext cx="3997444" cy="119155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 algn="r" rtl="1"/>
          <a:r>
            <a:rPr lang="fa-IR" sz="1200"/>
            <a:t>مرحله 4: تعیین</a:t>
          </a:r>
          <a:r>
            <a:rPr lang="fa-IR" sz="1200" baseline="0"/>
            <a:t> ماتریس اثرات</a:t>
          </a:r>
          <a:br>
            <a:rPr lang="fa-IR" sz="1200" baseline="0"/>
          </a:br>
          <a:r>
            <a:rPr lang="fa-IR" sz="1200" baseline="0"/>
            <a:t>در این مرحله باید گزینه ها را نسبت به معیار ها(روش ها) رتبه بندی کنیم</a:t>
          </a:r>
          <a:br>
            <a:rPr lang="fa-IR" sz="1200" baseline="0"/>
          </a:br>
          <a:r>
            <a:rPr lang="fa-IR" sz="1200" baseline="0"/>
            <a:t>در این سوال چون از ابتدا همین کار را انجام داده بودیم و ماتریس تصمیم همان ماتریس رتبه ها بر اساس روش ها بود، میتوان نتیجه گرفت ماتریس مرحله 4 همان ماتریس مرحله 1 است</a:t>
          </a:r>
          <a:endParaRPr lang="en-US" sz="1200"/>
        </a:p>
      </xdr:txBody>
    </xdr:sp>
    <xdr:clientData/>
  </xdr:twoCellAnchor>
  <xdr:twoCellAnchor>
    <xdr:from>
      <xdr:col>8</xdr:col>
      <xdr:colOff>68580</xdr:colOff>
      <xdr:row>42</xdr:row>
      <xdr:rowOff>15240</xdr:rowOff>
    </xdr:from>
    <xdr:to>
      <xdr:col>17</xdr:col>
      <xdr:colOff>373380</xdr:colOff>
      <xdr:row>51</xdr:row>
      <xdr:rowOff>175260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76D041C-DCF6-B819-8F90-935967065042}"/>
            </a:ext>
          </a:extLst>
        </xdr:cNvPr>
        <xdr:cNvSpPr txBox="1"/>
      </xdr:nvSpPr>
      <xdr:spPr>
        <a:xfrm>
          <a:off x="5631180" y="14531340"/>
          <a:ext cx="6019800" cy="18288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tx1">
              <a:lumMod val="95000"/>
              <a:lumOff val="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1"/>
          <a:r>
            <a:rPr lang="fa-IR" sz="1400" b="0"/>
            <a:t>با بررسی مقادیر مرحله 6 (محاسبه شاخص راهنما) با توجه به اینکه مقادیر مثبت این شاخص نشان از برتری گزینه</a:t>
          </a:r>
          <a:r>
            <a:rPr lang="fa-IR" sz="1400" b="0" baseline="0"/>
            <a:t> مربوطه میدهند میتوان گفت:</a:t>
          </a:r>
          <a:br>
            <a:rPr lang="fa-IR" sz="1400" b="0" baseline="0"/>
          </a:br>
          <a:r>
            <a:rPr lang="en-US" sz="1400" b="0" baseline="0"/>
            <a:t>E nissan-ford &gt; 0 =&gt; nissan &gt; ford</a:t>
          </a:r>
          <a:br>
            <a:rPr lang="en-US" sz="1400" b="0" baseline="0"/>
          </a:b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 cadillac-ford &gt; 0 =&gt; cadillac &gt; ford</a:t>
          </a:r>
          <a:b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 cadillac-nissan &gt; 0 =&gt; cadillac &gt; nissan</a:t>
          </a:r>
          <a:br>
            <a:rPr lang="en-US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fa-IR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در نتیجه رتبه بندی نهایی از روش رجیم به این صورت است:</a:t>
          </a:r>
          <a:br>
            <a:rPr lang="fa-IR" sz="14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Cadillac &gt; Nisssan &gt; Ford</a:t>
          </a:r>
          <a:endParaRPr lang="en-US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4173-A9E7-4F6F-8F94-19C59F6B7E08}">
  <dimension ref="A1:T38"/>
  <sheetViews>
    <sheetView tabSelected="1" zoomScale="74" workbookViewId="0">
      <selection activeCell="E10" sqref="E10"/>
    </sheetView>
  </sheetViews>
  <sheetFormatPr defaultRowHeight="14.4" x14ac:dyDescent="0.3"/>
  <cols>
    <col min="1" max="1" width="16.88671875" bestFit="1" customWidth="1"/>
    <col min="2" max="2" width="14.33203125" customWidth="1"/>
    <col min="3" max="3" width="12.21875" bestFit="1" customWidth="1"/>
    <col min="4" max="5" width="12" bestFit="1" customWidth="1"/>
    <col min="6" max="6" width="11.5546875" bestFit="1" customWidth="1"/>
    <col min="7" max="8" width="12.88671875" bestFit="1" customWidth="1"/>
    <col min="10" max="10" width="13.33203125" customWidth="1"/>
    <col min="11" max="15" width="12.88671875" bestFit="1" customWidth="1"/>
    <col min="16" max="16" width="11.77734375" bestFit="1" customWidth="1"/>
    <col min="18" max="18" width="11.77734375" customWidth="1"/>
    <col min="19" max="20" width="9.109375" bestFit="1" customWidth="1"/>
  </cols>
  <sheetData>
    <row r="1" spans="1:16" ht="18" x14ac:dyDescent="0.35">
      <c r="A1" s="172" t="s">
        <v>0</v>
      </c>
    </row>
    <row r="2" spans="1:16" ht="18.600000000000001" thickBot="1" x14ac:dyDescent="0.4">
      <c r="A2" s="172">
        <v>40125003</v>
      </c>
    </row>
    <row r="3" spans="1:16" ht="27.6" customHeight="1" thickBot="1" x14ac:dyDescent="0.35">
      <c r="B3" s="177" t="s">
        <v>7</v>
      </c>
      <c r="C3" s="178"/>
    </row>
    <row r="4" spans="1:16" ht="19.8" customHeight="1" x14ac:dyDescent="0.3">
      <c r="B4" s="8" t="s">
        <v>1</v>
      </c>
      <c r="C4" s="9">
        <v>0.11738465300394262</v>
      </c>
    </row>
    <row r="5" spans="1:16" ht="19.8" customHeight="1" x14ac:dyDescent="0.3">
      <c r="B5" s="10" t="s">
        <v>2</v>
      </c>
      <c r="C5" s="11">
        <v>0.42232862797903875</v>
      </c>
    </row>
    <row r="6" spans="1:16" ht="19.8" customHeight="1" x14ac:dyDescent="0.3">
      <c r="B6" s="10" t="s">
        <v>3</v>
      </c>
      <c r="C6" s="11">
        <v>0.18887110420107006</v>
      </c>
    </row>
    <row r="7" spans="1:16" ht="19.8" customHeight="1" x14ac:dyDescent="0.3">
      <c r="B7" s="12" t="s">
        <v>4</v>
      </c>
      <c r="C7" s="11">
        <v>5.025695130796743E-2</v>
      </c>
    </row>
    <row r="8" spans="1:16" ht="19.8" customHeight="1" x14ac:dyDescent="0.3">
      <c r="B8" s="10" t="s">
        <v>5</v>
      </c>
      <c r="C8" s="11">
        <v>6.066202673692541E-2</v>
      </c>
    </row>
    <row r="9" spans="1:16" ht="19.8" customHeight="1" thickBot="1" x14ac:dyDescent="0.35">
      <c r="B9" s="13" t="s">
        <v>6</v>
      </c>
      <c r="C9" s="14">
        <v>0.16049663677105566</v>
      </c>
    </row>
    <row r="10" spans="1:16" ht="15" thickBot="1" x14ac:dyDescent="0.35"/>
    <row r="11" spans="1:16" ht="15" thickBot="1" x14ac:dyDescent="0.35">
      <c r="B11" s="27"/>
      <c r="C11" s="28"/>
      <c r="D11" s="30" t="s">
        <v>17</v>
      </c>
      <c r="E11" s="28"/>
      <c r="F11" s="28"/>
      <c r="G11" s="28"/>
      <c r="H11" s="29"/>
    </row>
    <row r="12" spans="1:16" ht="28.8" x14ac:dyDescent="0.3">
      <c r="B12" s="15" t="s">
        <v>24</v>
      </c>
      <c r="C12" s="32" t="s">
        <v>8</v>
      </c>
      <c r="D12" s="33" t="s">
        <v>9</v>
      </c>
      <c r="E12" s="33" t="s">
        <v>10</v>
      </c>
      <c r="F12" s="33" t="s">
        <v>11</v>
      </c>
      <c r="G12" s="33" t="s">
        <v>12</v>
      </c>
      <c r="H12" s="34" t="s">
        <v>13</v>
      </c>
    </row>
    <row r="13" spans="1:16" ht="43.8" thickBot="1" x14ac:dyDescent="0.35">
      <c r="B13" s="12" t="s">
        <v>14</v>
      </c>
      <c r="C13" s="18">
        <v>42860</v>
      </c>
      <c r="D13" s="19">
        <v>0.14617803599661242</v>
      </c>
      <c r="E13" s="19">
        <v>0.16854719423553272</v>
      </c>
      <c r="F13" s="20">
        <v>16</v>
      </c>
      <c r="G13" s="20">
        <v>155</v>
      </c>
      <c r="H13" s="21">
        <v>5</v>
      </c>
    </row>
    <row r="14" spans="1:16" ht="29.4" thickBot="1" x14ac:dyDescent="0.35">
      <c r="B14" s="12" t="s">
        <v>15</v>
      </c>
      <c r="C14" s="18">
        <v>65750</v>
      </c>
      <c r="D14" s="19">
        <v>0.28767686500719952</v>
      </c>
      <c r="E14" s="19">
        <v>0.25693304700195263</v>
      </c>
      <c r="F14" s="20">
        <v>19</v>
      </c>
      <c r="G14" s="20">
        <v>190</v>
      </c>
      <c r="H14" s="21">
        <v>3</v>
      </c>
      <c r="K14" s="35"/>
      <c r="L14" s="36" t="s">
        <v>7</v>
      </c>
      <c r="M14" s="37"/>
      <c r="N14" s="37"/>
      <c r="O14" s="37"/>
      <c r="P14" s="38"/>
    </row>
    <row r="15" spans="1:16" ht="29.4" thickBot="1" x14ac:dyDescent="0.35">
      <c r="B15" s="22" t="s">
        <v>16</v>
      </c>
      <c r="C15" s="23">
        <v>56995</v>
      </c>
      <c r="D15" s="24">
        <v>0.56614509899618815</v>
      </c>
      <c r="E15" s="24">
        <v>0.5745197587625146</v>
      </c>
      <c r="F15" s="25">
        <v>21</v>
      </c>
      <c r="G15" s="25">
        <v>156</v>
      </c>
      <c r="H15" s="26">
        <v>3</v>
      </c>
      <c r="K15" s="8" t="s">
        <v>8</v>
      </c>
      <c r="L15" s="16" t="s">
        <v>9</v>
      </c>
      <c r="M15" s="16" t="s">
        <v>10</v>
      </c>
      <c r="N15" s="16" t="s">
        <v>11</v>
      </c>
      <c r="O15" s="16" t="s">
        <v>12</v>
      </c>
      <c r="P15" s="17" t="s">
        <v>13</v>
      </c>
    </row>
    <row r="16" spans="1:16" ht="15" thickBot="1" x14ac:dyDescent="0.35">
      <c r="K16" s="42">
        <f>C4</f>
        <v>0.11738465300394262</v>
      </c>
      <c r="L16" s="43">
        <f>C5</f>
        <v>0.42232862797903875</v>
      </c>
      <c r="M16" s="43">
        <f>C6</f>
        <v>0.18887110420107006</v>
      </c>
      <c r="N16" s="43">
        <f>C7</f>
        <v>5.025695130796743E-2</v>
      </c>
      <c r="O16" s="43">
        <f>C8</f>
        <v>6.066202673692541E-2</v>
      </c>
      <c r="P16" s="14">
        <f>C9</f>
        <v>0.16049663677105566</v>
      </c>
    </row>
    <row r="17" spans="1:20" ht="15" thickBot="1" x14ac:dyDescent="0.35">
      <c r="B17" s="27"/>
      <c r="C17" s="28" t="s">
        <v>18</v>
      </c>
      <c r="D17" s="28"/>
      <c r="E17" s="28"/>
      <c r="F17" s="28"/>
      <c r="G17" s="28"/>
      <c r="H17" s="29"/>
      <c r="J17" s="27"/>
      <c r="K17" s="39"/>
      <c r="L17" s="39" t="s">
        <v>19</v>
      </c>
      <c r="M17" s="39"/>
      <c r="N17" s="39"/>
      <c r="O17" s="39"/>
      <c r="P17" s="40"/>
    </row>
    <row r="18" spans="1:20" ht="28.8" x14ac:dyDescent="0.3">
      <c r="A18" s="31"/>
      <c r="B18" s="15" t="s">
        <v>23</v>
      </c>
      <c r="C18" s="16" t="s">
        <v>8</v>
      </c>
      <c r="D18" s="16" t="s">
        <v>9</v>
      </c>
      <c r="E18" s="16" t="s">
        <v>10</v>
      </c>
      <c r="F18" s="16" t="s">
        <v>11</v>
      </c>
      <c r="G18" s="16" t="s">
        <v>12</v>
      </c>
      <c r="H18" s="17" t="s">
        <v>13</v>
      </c>
      <c r="J18" s="15" t="s">
        <v>25</v>
      </c>
      <c r="K18" s="16" t="s">
        <v>8</v>
      </c>
      <c r="L18" s="16" t="s">
        <v>9</v>
      </c>
      <c r="M18" s="16" t="s">
        <v>10</v>
      </c>
      <c r="N18" s="16" t="s">
        <v>11</v>
      </c>
      <c r="O18" s="16" t="s">
        <v>12</v>
      </c>
      <c r="P18" s="17" t="s">
        <v>13</v>
      </c>
    </row>
    <row r="19" spans="1:20" ht="60" customHeight="1" x14ac:dyDescent="0.3">
      <c r="A19" s="31"/>
      <c r="B19" s="12" t="s">
        <v>14</v>
      </c>
      <c r="C19" s="20">
        <f t="shared" ref="C19:H19" si="0">C13/SUM(C$13:C$15)</f>
        <v>0.25880861085112167</v>
      </c>
      <c r="D19" s="20">
        <f t="shared" si="0"/>
        <v>0.14617803599661242</v>
      </c>
      <c r="E19" s="20">
        <f t="shared" si="0"/>
        <v>0.16854719423553272</v>
      </c>
      <c r="F19" s="20">
        <f t="shared" si="0"/>
        <v>0.2857142857142857</v>
      </c>
      <c r="G19" s="20">
        <f t="shared" si="0"/>
        <v>0.30938123752495011</v>
      </c>
      <c r="H19" s="21">
        <f t="shared" si="0"/>
        <v>0.45454545454545453</v>
      </c>
      <c r="J19" s="12" t="s">
        <v>14</v>
      </c>
      <c r="K19" s="20">
        <f>C19*K$16</f>
        <v>3.0380158979191333E-2</v>
      </c>
      <c r="L19" s="20">
        <f t="shared" ref="L19:P19" si="1">D19*L$16</f>
        <v>6.1735169383119862E-2</v>
      </c>
      <c r="M19" s="20">
        <f t="shared" si="1"/>
        <v>3.1833694685257298E-2</v>
      </c>
      <c r="N19" s="20">
        <f t="shared" si="1"/>
        <v>1.435912894513355E-2</v>
      </c>
      <c r="O19" s="20">
        <f t="shared" si="1"/>
        <v>1.8767692902641596E-2</v>
      </c>
      <c r="P19" s="20">
        <f t="shared" si="1"/>
        <v>7.2953016714116206E-2</v>
      </c>
    </row>
    <row r="20" spans="1:20" ht="36.6" customHeight="1" x14ac:dyDescent="0.3">
      <c r="A20" s="31"/>
      <c r="B20" s="12" t="s">
        <v>15</v>
      </c>
      <c r="C20" s="20">
        <f t="shared" ref="C20" si="2">C14/SUM(C$13:C$15)</f>
        <v>0.39702907520908187</v>
      </c>
      <c r="D20" s="20">
        <f t="shared" ref="D20:H20" si="3">D14/SUM(D$13:D$15)</f>
        <v>0.28767686500719952</v>
      </c>
      <c r="E20" s="20">
        <f t="shared" si="3"/>
        <v>0.25693304700195263</v>
      </c>
      <c r="F20" s="20">
        <f t="shared" si="3"/>
        <v>0.3392857142857143</v>
      </c>
      <c r="G20" s="20">
        <f t="shared" si="3"/>
        <v>0.37924151696606784</v>
      </c>
      <c r="H20" s="21">
        <f t="shared" si="3"/>
        <v>0.27272727272727271</v>
      </c>
      <c r="J20" s="12" t="s">
        <v>15</v>
      </c>
      <c r="K20" s="20">
        <f t="shared" ref="K20:K21" si="4">C20*K$16</f>
        <v>4.660512022589431E-2</v>
      </c>
      <c r="L20" s="20">
        <f t="shared" ref="L20:L21" si="5">D20*L$16</f>
        <v>0.12149417569980171</v>
      </c>
      <c r="M20" s="20">
        <f t="shared" ref="M20:M21" si="6">E20*M$16</f>
        <v>4.8527228293004224E-2</v>
      </c>
      <c r="N20" s="20">
        <f t="shared" ref="N20:N21" si="7">F20*N$16</f>
        <v>1.7051465622346093E-2</v>
      </c>
      <c r="O20" s="20">
        <f t="shared" ref="O20:O21" si="8">G20*O$16</f>
        <v>2.300555904194776E-2</v>
      </c>
      <c r="P20" s="20">
        <f t="shared" ref="P20:P21" si="9">H20*P$16</f>
        <v>4.3771810028469721E-2</v>
      </c>
    </row>
    <row r="21" spans="1:20" ht="36.6" customHeight="1" thickBot="1" x14ac:dyDescent="0.35">
      <c r="B21" s="22" t="s">
        <v>16</v>
      </c>
      <c r="C21" s="20">
        <f t="shared" ref="C21" si="10">C15/SUM(C$13:C$15)</f>
        <v>0.34416231393979652</v>
      </c>
      <c r="D21" s="25">
        <f t="shared" ref="D21:H21" si="11">D15/SUM(D$13:D$15)</f>
        <v>0.56614509899618815</v>
      </c>
      <c r="E21" s="25">
        <f t="shared" si="11"/>
        <v>0.5745197587625146</v>
      </c>
      <c r="F21" s="25">
        <f t="shared" si="11"/>
        <v>0.375</v>
      </c>
      <c r="G21" s="25">
        <f t="shared" si="11"/>
        <v>0.31137724550898205</v>
      </c>
      <c r="H21" s="26">
        <f t="shared" si="11"/>
        <v>0.27272727272727271</v>
      </c>
      <c r="J21" s="22" t="s">
        <v>16</v>
      </c>
      <c r="K21" s="20">
        <f t="shared" si="4"/>
        <v>4.0399373798856976E-2</v>
      </c>
      <c r="L21" s="20">
        <f t="shared" si="5"/>
        <v>0.2390992828961172</v>
      </c>
      <c r="M21" s="20">
        <f t="shared" si="6"/>
        <v>0.10851018122280853</v>
      </c>
      <c r="N21" s="20">
        <f t="shared" si="7"/>
        <v>1.8846356740487787E-2</v>
      </c>
      <c r="O21" s="20">
        <f t="shared" si="8"/>
        <v>1.8888774792336055E-2</v>
      </c>
      <c r="P21" s="20">
        <f t="shared" si="9"/>
        <v>4.3771810028469721E-2</v>
      </c>
    </row>
    <row r="22" spans="1:20" ht="15" thickBot="1" x14ac:dyDescent="0.35"/>
    <row r="23" spans="1:20" ht="15" thickBot="1" x14ac:dyDescent="0.35">
      <c r="B23" s="27"/>
      <c r="C23" s="28" t="s">
        <v>22</v>
      </c>
      <c r="D23" s="28"/>
      <c r="E23" s="28"/>
      <c r="F23" s="28"/>
      <c r="G23" s="28"/>
      <c r="H23" s="29"/>
    </row>
    <row r="24" spans="1:20" ht="28.8" x14ac:dyDescent="0.3">
      <c r="B24" s="49"/>
      <c r="C24" s="16" t="s">
        <v>8</v>
      </c>
      <c r="D24" s="16" t="s">
        <v>9</v>
      </c>
      <c r="E24" s="16" t="s">
        <v>10</v>
      </c>
      <c r="F24" s="16" t="s">
        <v>11</v>
      </c>
      <c r="G24" s="16" t="s">
        <v>12</v>
      </c>
      <c r="H24" s="17" t="s">
        <v>13</v>
      </c>
    </row>
    <row r="25" spans="1:20" ht="16.2" x14ac:dyDescent="0.3">
      <c r="B25" s="12" t="s">
        <v>21</v>
      </c>
      <c r="C25" s="41">
        <f>MIN(K19:K21)</f>
        <v>3.0380158979191333E-2</v>
      </c>
      <c r="D25" s="41">
        <f>MAX(L19:L21)</f>
        <v>0.2390992828961172</v>
      </c>
      <c r="E25" s="41">
        <f t="shared" ref="E25:H25" si="12">MAX(M19:M21)</f>
        <v>0.10851018122280853</v>
      </c>
      <c r="F25" s="41">
        <f t="shared" si="12"/>
        <v>1.8846356740487787E-2</v>
      </c>
      <c r="G25" s="41">
        <f t="shared" si="12"/>
        <v>2.300555904194776E-2</v>
      </c>
      <c r="H25" s="11">
        <f t="shared" si="12"/>
        <v>7.2953016714116206E-2</v>
      </c>
    </row>
    <row r="26" spans="1:20" ht="15" thickBot="1" x14ac:dyDescent="0.35">
      <c r="B26" s="22" t="s">
        <v>20</v>
      </c>
      <c r="C26" s="43">
        <f>MAX(K19:K21)</f>
        <v>4.660512022589431E-2</v>
      </c>
      <c r="D26" s="43">
        <f>MIN(L19:L21)</f>
        <v>6.1735169383119862E-2</v>
      </c>
      <c r="E26" s="43">
        <f t="shared" ref="E26:H26" si="13">MIN(M19:M21)</f>
        <v>3.1833694685257298E-2</v>
      </c>
      <c r="F26" s="43">
        <f t="shared" si="13"/>
        <v>1.435912894513355E-2</v>
      </c>
      <c r="G26" s="43">
        <f t="shared" si="13"/>
        <v>1.8767692902641596E-2</v>
      </c>
      <c r="H26" s="14">
        <f t="shared" si="13"/>
        <v>4.3771810028469721E-2</v>
      </c>
    </row>
    <row r="28" spans="1:20" ht="15" thickBot="1" x14ac:dyDescent="0.35"/>
    <row r="29" spans="1:20" ht="29.4" thickBot="1" x14ac:dyDescent="0.35">
      <c r="A29" s="179" t="s">
        <v>30</v>
      </c>
      <c r="B29" s="15" t="s">
        <v>26</v>
      </c>
      <c r="C29" s="16" t="s">
        <v>8</v>
      </c>
      <c r="D29" s="16" t="s">
        <v>9</v>
      </c>
      <c r="E29" s="16" t="s">
        <v>10</v>
      </c>
      <c r="F29" s="16" t="s">
        <v>11</v>
      </c>
      <c r="G29" s="16" t="s">
        <v>12</v>
      </c>
      <c r="H29" s="17" t="s">
        <v>13</v>
      </c>
      <c r="I29" s="31"/>
      <c r="J29" s="15" t="s">
        <v>27</v>
      </c>
      <c r="K29" s="16" t="s">
        <v>8</v>
      </c>
      <c r="L29" s="16" t="s">
        <v>9</v>
      </c>
      <c r="M29" s="16" t="s">
        <v>10</v>
      </c>
      <c r="N29" s="16" t="s">
        <v>11</v>
      </c>
      <c r="O29" s="16" t="s">
        <v>12</v>
      </c>
      <c r="P29" s="17" t="s">
        <v>13</v>
      </c>
      <c r="S29" s="51" t="s">
        <v>28</v>
      </c>
      <c r="T29" s="52" t="s">
        <v>29</v>
      </c>
    </row>
    <row r="30" spans="1:20" ht="43.2" x14ac:dyDescent="0.3">
      <c r="A30" s="180"/>
      <c r="B30" s="12" t="s">
        <v>14</v>
      </c>
      <c r="C30" s="19">
        <f>C$25-K19</f>
        <v>0</v>
      </c>
      <c r="D30" s="19">
        <f t="shared" ref="D30:H30" si="14">D$25-L19</f>
        <v>0.17736411351299736</v>
      </c>
      <c r="E30" s="19">
        <f t="shared" si="14"/>
        <v>7.6676486537551242E-2</v>
      </c>
      <c r="F30" s="19">
        <f t="shared" si="14"/>
        <v>4.4872277953542372E-3</v>
      </c>
      <c r="G30" s="19">
        <f t="shared" si="14"/>
        <v>4.2378661393061637E-3</v>
      </c>
      <c r="H30" s="6">
        <f t="shared" si="14"/>
        <v>0</v>
      </c>
      <c r="I30" s="31"/>
      <c r="J30" s="12" t="s">
        <v>14</v>
      </c>
      <c r="K30" s="19">
        <f>C$26-K19</f>
        <v>1.6224961246702977E-2</v>
      </c>
      <c r="L30" s="19">
        <f t="shared" ref="L30:P30" si="15">D$26-L19</f>
        <v>0</v>
      </c>
      <c r="M30" s="19">
        <f t="shared" si="15"/>
        <v>0</v>
      </c>
      <c r="N30" s="19">
        <f t="shared" si="15"/>
        <v>0</v>
      </c>
      <c r="O30" s="19">
        <f t="shared" si="15"/>
        <v>0</v>
      </c>
      <c r="P30" s="6">
        <f t="shared" si="15"/>
        <v>-2.9181206685646485E-2</v>
      </c>
      <c r="R30" s="8" t="s">
        <v>14</v>
      </c>
      <c r="S30" s="50">
        <f>POWER(SUM(C30^2,D30^2,E30^2,F30^2,G30^2,H30^2),0.5)</f>
        <v>0.19332720210228246</v>
      </c>
      <c r="T30" s="9">
        <f>POWER(SUM(K30^2,L30^2,M30^2,N30^2,O30^2,P30^2),0.5)</f>
        <v>3.3388503876146239E-2</v>
      </c>
    </row>
    <row r="31" spans="1:20" ht="28.8" x14ac:dyDescent="0.3">
      <c r="A31" s="180"/>
      <c r="B31" s="12" t="s">
        <v>15</v>
      </c>
      <c r="C31" s="19">
        <f t="shared" ref="C31:C32" si="16">C$25-K20</f>
        <v>-1.6224961246702977E-2</v>
      </c>
      <c r="D31" s="19">
        <f t="shared" ref="D31:D32" si="17">D$25-L20</f>
        <v>0.11760510719631549</v>
      </c>
      <c r="E31" s="19">
        <f t="shared" ref="E31:E32" si="18">E$25-M20</f>
        <v>5.9982952929804309E-2</v>
      </c>
      <c r="F31" s="19">
        <f t="shared" ref="F31:F32" si="19">F$25-N20</f>
        <v>1.7948911181416942E-3</v>
      </c>
      <c r="G31" s="19">
        <f t="shared" ref="G31:G32" si="20">G$25-O20</f>
        <v>0</v>
      </c>
      <c r="H31" s="6">
        <f t="shared" ref="H31:H32" si="21">H$25-P20</f>
        <v>2.9181206685646485E-2</v>
      </c>
      <c r="I31" s="31"/>
      <c r="J31" s="12" t="s">
        <v>15</v>
      </c>
      <c r="K31" s="19">
        <f t="shared" ref="K31:K32" si="22">C$26-K20</f>
        <v>0</v>
      </c>
      <c r="L31" s="19">
        <f t="shared" ref="L31:L32" si="23">D$26-L20</f>
        <v>-5.9759006316681851E-2</v>
      </c>
      <c r="M31" s="19">
        <f t="shared" ref="M31:M32" si="24">E$26-M20</f>
        <v>-1.6693533607746926E-2</v>
      </c>
      <c r="N31" s="19">
        <f t="shared" ref="N31:N32" si="25">F$26-N20</f>
        <v>-2.692336677212543E-3</v>
      </c>
      <c r="O31" s="19">
        <f t="shared" ref="O31:O32" si="26">G$26-O20</f>
        <v>-4.2378661393061637E-3</v>
      </c>
      <c r="P31" s="6">
        <f t="shared" ref="P31:P32" si="27">H$26-P20</f>
        <v>0</v>
      </c>
      <c r="R31" s="12" t="s">
        <v>15</v>
      </c>
      <c r="S31" s="41">
        <f t="shared" ref="S31:S32" si="28">POWER(SUM(C31^2,D31^2,E31^2,F31^2,G31^2,H31^2),0.5)</f>
        <v>0.13618711284864435</v>
      </c>
      <c r="T31" s="11">
        <f t="shared" ref="T31:T32" si="29">POWER(SUM(K31^2,L31^2,M31^2,N31^2,O31^2,P31^2),0.5)</f>
        <v>6.2249667360302727E-2</v>
      </c>
    </row>
    <row r="32" spans="1:20" ht="43.8" thickBot="1" x14ac:dyDescent="0.35">
      <c r="A32" s="181"/>
      <c r="B32" s="22" t="s">
        <v>16</v>
      </c>
      <c r="C32" s="24">
        <f t="shared" si="16"/>
        <v>-1.0019214819665643E-2</v>
      </c>
      <c r="D32" s="24">
        <f t="shared" si="17"/>
        <v>0</v>
      </c>
      <c r="E32" s="24">
        <f t="shared" si="18"/>
        <v>0</v>
      </c>
      <c r="F32" s="24">
        <f t="shared" si="19"/>
        <v>0</v>
      </c>
      <c r="G32" s="24">
        <f t="shared" si="20"/>
        <v>4.1167842496117046E-3</v>
      </c>
      <c r="H32" s="7">
        <f t="shared" si="21"/>
        <v>2.9181206685646485E-2</v>
      </c>
      <c r="I32" s="31"/>
      <c r="J32" s="22" t="s">
        <v>16</v>
      </c>
      <c r="K32" s="24">
        <f t="shared" si="22"/>
        <v>6.2057464270373341E-3</v>
      </c>
      <c r="L32" s="24">
        <f t="shared" si="23"/>
        <v>-0.17736411351299736</v>
      </c>
      <c r="M32" s="24">
        <f t="shared" si="24"/>
        <v>-7.6676486537551242E-2</v>
      </c>
      <c r="N32" s="24">
        <f t="shared" si="25"/>
        <v>-4.4872277953542372E-3</v>
      </c>
      <c r="O32" s="24">
        <f t="shared" si="26"/>
        <v>-1.2108188969445904E-4</v>
      </c>
      <c r="P32" s="7">
        <f t="shared" si="27"/>
        <v>0</v>
      </c>
      <c r="R32" s="22" t="s">
        <v>16</v>
      </c>
      <c r="S32" s="43">
        <f t="shared" si="28"/>
        <v>3.1126763432629448E-2</v>
      </c>
      <c r="T32" s="14">
        <f t="shared" si="29"/>
        <v>0.19338038554316409</v>
      </c>
    </row>
    <row r="34" spans="1:4" ht="15" thickBot="1" x14ac:dyDescent="0.35"/>
    <row r="35" spans="1:4" x14ac:dyDescent="0.3">
      <c r="A35" s="182" t="s">
        <v>33</v>
      </c>
      <c r="B35" s="15" t="s">
        <v>32</v>
      </c>
      <c r="C35" s="53" t="s">
        <v>31</v>
      </c>
      <c r="D35" s="9" t="s">
        <v>34</v>
      </c>
    </row>
    <row r="36" spans="1:4" ht="43.2" x14ac:dyDescent="0.3">
      <c r="A36" s="183"/>
      <c r="B36" s="12" t="s">
        <v>14</v>
      </c>
      <c r="C36" s="19">
        <f>T30/(S30+T30)</f>
        <v>0.14727036105439933</v>
      </c>
      <c r="D36" s="11">
        <f>RANK(C36,$C$36:$C$38,0)</f>
        <v>3</v>
      </c>
    </row>
    <row r="37" spans="1:4" ht="28.8" x14ac:dyDescent="0.3">
      <c r="A37" s="183"/>
      <c r="B37" s="12" t="s">
        <v>15</v>
      </c>
      <c r="C37" s="19">
        <f t="shared" ref="C37:C38" si="30">T31/(S31+T31)</f>
        <v>0.31370024898990995</v>
      </c>
      <c r="D37" s="11">
        <f t="shared" ref="D37:D38" si="31">RANK(C37,$C$36:$C$38,0)</f>
        <v>2</v>
      </c>
    </row>
    <row r="38" spans="1:4" ht="29.4" thickBot="1" x14ac:dyDescent="0.35">
      <c r="A38" s="184"/>
      <c r="B38" s="4" t="s">
        <v>16</v>
      </c>
      <c r="C38" s="5">
        <f t="shared" si="30"/>
        <v>0.86135513468221203</v>
      </c>
      <c r="D38" s="3">
        <f t="shared" si="31"/>
        <v>1</v>
      </c>
    </row>
  </sheetData>
  <mergeCells count="3">
    <mergeCell ref="B3:C3"/>
    <mergeCell ref="A29:A32"/>
    <mergeCell ref="A35:A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5BE51-8FDB-4014-8098-94AE8CB25066}">
  <dimension ref="A2:S53"/>
  <sheetViews>
    <sheetView zoomScale="53" workbookViewId="0">
      <selection activeCell="O32" sqref="O32"/>
    </sheetView>
  </sheetViews>
  <sheetFormatPr defaultRowHeight="14.4" x14ac:dyDescent="0.3"/>
  <cols>
    <col min="2" max="2" width="13" customWidth="1"/>
    <col min="3" max="3" width="10.6640625" bestFit="1" customWidth="1"/>
    <col min="13" max="13" width="13.88671875" customWidth="1"/>
  </cols>
  <sheetData>
    <row r="2" spans="2:8" ht="15.6" customHeight="1" thickBot="1" x14ac:dyDescent="0.35"/>
    <row r="3" spans="2:8" ht="27.6" customHeight="1" thickBot="1" x14ac:dyDescent="0.35">
      <c r="B3" s="177" t="s">
        <v>7</v>
      </c>
      <c r="C3" s="178"/>
    </row>
    <row r="4" spans="2:8" ht="15.6" x14ac:dyDescent="0.3">
      <c r="B4" s="8" t="s">
        <v>1</v>
      </c>
      <c r="C4" s="9">
        <v>0.11738465300394262</v>
      </c>
    </row>
    <row r="5" spans="2:8" ht="15.6" x14ac:dyDescent="0.3">
      <c r="B5" s="10" t="s">
        <v>2</v>
      </c>
      <c r="C5" s="11">
        <v>0.42232862797903875</v>
      </c>
    </row>
    <row r="6" spans="2:8" ht="15.6" x14ac:dyDescent="0.3">
      <c r="B6" s="10" t="s">
        <v>3</v>
      </c>
      <c r="C6" s="11">
        <v>0.18887110420107006</v>
      </c>
    </row>
    <row r="7" spans="2:8" ht="31.2" x14ac:dyDescent="0.3">
      <c r="B7" s="12" t="s">
        <v>4</v>
      </c>
      <c r="C7" s="11">
        <v>5.025695130796743E-2</v>
      </c>
    </row>
    <row r="8" spans="2:8" ht="15.6" x14ac:dyDescent="0.3">
      <c r="B8" s="10" t="s">
        <v>5</v>
      </c>
      <c r="C8" s="11">
        <v>6.066202673692541E-2</v>
      </c>
    </row>
    <row r="9" spans="2:8" ht="16.2" thickBot="1" x14ac:dyDescent="0.35">
      <c r="B9" s="13" t="s">
        <v>6</v>
      </c>
      <c r="C9" s="14">
        <v>0.16049663677105566</v>
      </c>
    </row>
    <row r="10" spans="2:8" ht="15" thickBot="1" x14ac:dyDescent="0.35"/>
    <row r="11" spans="2:8" ht="15" thickBot="1" x14ac:dyDescent="0.35">
      <c r="B11" s="27"/>
      <c r="C11" s="28"/>
      <c r="D11" s="30" t="s">
        <v>17</v>
      </c>
      <c r="E11" s="28"/>
      <c r="F11" s="28"/>
      <c r="G11" s="28"/>
      <c r="H11" s="29"/>
    </row>
    <row r="12" spans="2:8" ht="28.8" x14ac:dyDescent="0.3">
      <c r="B12" s="15" t="s">
        <v>36</v>
      </c>
      <c r="C12" s="32" t="s">
        <v>8</v>
      </c>
      <c r="D12" s="33" t="s">
        <v>9</v>
      </c>
      <c r="E12" s="33" t="s">
        <v>10</v>
      </c>
      <c r="F12" s="33" t="s">
        <v>11</v>
      </c>
      <c r="G12" s="33" t="s">
        <v>12</v>
      </c>
      <c r="H12" s="34" t="s">
        <v>13</v>
      </c>
    </row>
    <row r="13" spans="2:8" ht="48" customHeight="1" x14ac:dyDescent="0.3">
      <c r="B13" s="12" t="s">
        <v>14</v>
      </c>
      <c r="C13" s="18">
        <v>42860</v>
      </c>
      <c r="D13" s="19">
        <v>0.14617803599661242</v>
      </c>
      <c r="E13" s="19">
        <v>0.16854719423553272</v>
      </c>
      <c r="F13" s="20">
        <v>16</v>
      </c>
      <c r="G13" s="20">
        <v>155</v>
      </c>
      <c r="H13" s="21">
        <v>5</v>
      </c>
    </row>
    <row r="14" spans="2:8" ht="31.8" customHeight="1" x14ac:dyDescent="0.3">
      <c r="B14" s="12" t="s">
        <v>15</v>
      </c>
      <c r="C14" s="18">
        <v>65750</v>
      </c>
      <c r="D14" s="19">
        <v>0.28767686500719952</v>
      </c>
      <c r="E14" s="19">
        <v>0.25693304700195263</v>
      </c>
      <c r="F14" s="20">
        <v>19</v>
      </c>
      <c r="G14" s="20">
        <v>190</v>
      </c>
      <c r="H14" s="21">
        <v>3</v>
      </c>
    </row>
    <row r="15" spans="2:8" ht="39" customHeight="1" thickBot="1" x14ac:dyDescent="0.35">
      <c r="B15" s="75" t="s">
        <v>16</v>
      </c>
      <c r="C15" s="76">
        <v>56995</v>
      </c>
      <c r="D15" s="77">
        <v>0.56614509899618815</v>
      </c>
      <c r="E15" s="77">
        <v>0.5745197587625146</v>
      </c>
      <c r="F15" s="78">
        <v>21</v>
      </c>
      <c r="G15" s="78">
        <v>156</v>
      </c>
      <c r="H15" s="79">
        <v>3</v>
      </c>
    </row>
    <row r="16" spans="2:8" ht="15" thickBot="1" x14ac:dyDescent="0.35">
      <c r="B16" s="80" t="s">
        <v>35</v>
      </c>
      <c r="C16" s="81">
        <f t="array" ref="C16:H16">TRANSPOSE(C4:C9)</f>
        <v>0.11738465300394262</v>
      </c>
      <c r="D16" s="81">
        <v>0.42232862797903875</v>
      </c>
      <c r="E16" s="81">
        <v>0.18887110420107006</v>
      </c>
      <c r="F16" s="81">
        <v>5.025695130796743E-2</v>
      </c>
      <c r="G16" s="81">
        <v>6.066202673692541E-2</v>
      </c>
      <c r="H16" s="82">
        <v>0.16049663677105566</v>
      </c>
    </row>
    <row r="17" spans="1:11" ht="15" thickBot="1" x14ac:dyDescent="0.35">
      <c r="A17" s="54"/>
      <c r="B17" s="65"/>
      <c r="C17" s="65"/>
      <c r="D17" s="65"/>
      <c r="E17" s="65"/>
      <c r="F17" s="65"/>
      <c r="G17" s="65"/>
      <c r="H17" s="65"/>
      <c r="I17" s="65"/>
      <c r="J17" s="65"/>
      <c r="K17" s="66"/>
    </row>
    <row r="18" spans="1:11" ht="15" thickBot="1" x14ac:dyDescent="0.35">
      <c r="A18" s="67"/>
      <c r="B18" s="27"/>
      <c r="C18" s="28" t="s">
        <v>39</v>
      </c>
      <c r="D18" s="28"/>
      <c r="E18" s="28"/>
      <c r="F18" s="28"/>
      <c r="G18" s="28"/>
      <c r="H18" s="29"/>
      <c r="K18" s="55"/>
    </row>
    <row r="19" spans="1:11" ht="28.8" x14ac:dyDescent="0.3">
      <c r="A19" s="67"/>
      <c r="B19" s="49"/>
      <c r="C19" s="32" t="s">
        <v>8</v>
      </c>
      <c r="D19" s="33" t="s">
        <v>9</v>
      </c>
      <c r="E19" s="33" t="s">
        <v>10</v>
      </c>
      <c r="F19" s="33" t="s">
        <v>11</v>
      </c>
      <c r="G19" s="33" t="s">
        <v>12</v>
      </c>
      <c r="H19" s="34" t="s">
        <v>13</v>
      </c>
      <c r="K19" s="55"/>
    </row>
    <row r="20" spans="1:11" ht="17.399999999999999" x14ac:dyDescent="0.3">
      <c r="A20" s="67"/>
      <c r="B20" s="58" t="s">
        <v>37</v>
      </c>
      <c r="C20" s="62">
        <f>MIN(C13:C15)</f>
        <v>42860</v>
      </c>
      <c r="D20" s="41">
        <f>MAX(D13:D15)</f>
        <v>0.56614509899618815</v>
      </c>
      <c r="E20" s="41">
        <f t="shared" ref="E20:H20" si="0">MAX(E13:E15)</f>
        <v>0.5745197587625146</v>
      </c>
      <c r="F20" s="41">
        <f t="shared" si="0"/>
        <v>21</v>
      </c>
      <c r="G20" s="41">
        <f t="shared" si="0"/>
        <v>190</v>
      </c>
      <c r="H20" s="11">
        <f t="shared" si="0"/>
        <v>5</v>
      </c>
      <c r="K20" s="55"/>
    </row>
    <row r="21" spans="1:11" ht="18" thickBot="1" x14ac:dyDescent="0.35">
      <c r="A21" s="67"/>
      <c r="B21" s="59" t="s">
        <v>38</v>
      </c>
      <c r="C21" s="63">
        <f>MAX(C13:C15)</f>
        <v>65750</v>
      </c>
      <c r="D21" s="43">
        <f>MIN(D13:D15)</f>
        <v>0.14617803599661242</v>
      </c>
      <c r="E21" s="43">
        <f t="shared" ref="E21:H21" si="1">MIN(E13:E15)</f>
        <v>0.16854719423553272</v>
      </c>
      <c r="F21" s="43">
        <f t="shared" si="1"/>
        <v>16</v>
      </c>
      <c r="G21" s="43">
        <f t="shared" si="1"/>
        <v>155</v>
      </c>
      <c r="H21" s="14">
        <f t="shared" si="1"/>
        <v>3</v>
      </c>
      <c r="K21" s="55"/>
    </row>
    <row r="22" spans="1:11" ht="15" thickBot="1" x14ac:dyDescent="0.35">
      <c r="A22" s="68"/>
      <c r="B22" s="56"/>
      <c r="C22" s="56"/>
      <c r="D22" s="56"/>
      <c r="E22" s="56"/>
      <c r="F22" s="56"/>
      <c r="G22" s="56"/>
      <c r="H22" s="56"/>
      <c r="I22" s="56"/>
      <c r="J22" s="56"/>
      <c r="K22" s="57"/>
    </row>
    <row r="23" spans="1:11" ht="15" thickBot="1" x14ac:dyDescent="0.35">
      <c r="A23" s="35" t="s">
        <v>42</v>
      </c>
      <c r="B23" s="37"/>
      <c r="C23" s="37"/>
      <c r="D23" s="37"/>
      <c r="E23" s="37"/>
      <c r="F23" s="37"/>
      <c r="G23" s="37"/>
      <c r="H23" s="65"/>
      <c r="I23" s="65"/>
      <c r="J23" s="65"/>
      <c r="K23" s="66"/>
    </row>
    <row r="24" spans="1:11" ht="15.6" x14ac:dyDescent="0.35">
      <c r="A24" s="67"/>
      <c r="B24" s="45"/>
      <c r="C24" s="50" t="s">
        <v>40</v>
      </c>
      <c r="D24" s="9" t="s">
        <v>41</v>
      </c>
      <c r="K24" s="55"/>
    </row>
    <row r="25" spans="1:11" ht="43.2" x14ac:dyDescent="0.3">
      <c r="A25" s="67"/>
      <c r="B25" s="12" t="s">
        <v>14</v>
      </c>
      <c r="C25" s="41">
        <f>SUMPRODUCT($C$16:$H$16,C29:H29)</f>
        <v>0.72211871022500174</v>
      </c>
      <c r="D25" s="11">
        <f>MAX(C33:H33)</f>
        <v>0.42232862797903875</v>
      </c>
      <c r="K25" s="55"/>
    </row>
    <row r="26" spans="1:11" ht="28.8" x14ac:dyDescent="0.3">
      <c r="A26" s="67"/>
      <c r="B26" s="12" t="s">
        <v>15</v>
      </c>
      <c r="C26" s="41">
        <f t="shared" ref="C26:C27" si="2">SUMPRODUCT($C$16:$H$16,C30:H30)</f>
        <v>0.72576943863832732</v>
      </c>
      <c r="D26" s="11">
        <f t="shared" ref="D26:D27" si="3">MAX(C34:H34)</f>
        <v>0.28003412066730166</v>
      </c>
      <c r="K26" s="55"/>
    </row>
    <row r="27" spans="1:11" ht="29.4" thickBot="1" x14ac:dyDescent="0.35">
      <c r="A27" s="67"/>
      <c r="B27" s="22" t="s">
        <v>16</v>
      </c>
      <c r="C27" s="43">
        <f t="shared" si="2"/>
        <v>0.29191266546188144</v>
      </c>
      <c r="D27" s="14">
        <f t="shared" si="3"/>
        <v>0.16049663677105566</v>
      </c>
      <c r="K27" s="55"/>
    </row>
    <row r="28" spans="1:11" ht="15" thickBot="1" x14ac:dyDescent="0.35">
      <c r="A28" s="67"/>
      <c r="K28" s="55"/>
    </row>
    <row r="29" spans="1:11" ht="43.2" x14ac:dyDescent="0.3">
      <c r="A29" s="67"/>
      <c r="B29" s="8" t="s">
        <v>14</v>
      </c>
      <c r="C29" s="60">
        <f>(C$20-C13)/(C$20-C$21)</f>
        <v>0</v>
      </c>
      <c r="D29" s="60">
        <f t="shared" ref="D29:H29" si="4">(D$20-D13)/(D$20-D$21)</f>
        <v>1</v>
      </c>
      <c r="E29" s="60">
        <f t="shared" si="4"/>
        <v>1</v>
      </c>
      <c r="F29" s="60">
        <f t="shared" si="4"/>
        <v>1</v>
      </c>
      <c r="G29" s="60">
        <f t="shared" si="4"/>
        <v>1</v>
      </c>
      <c r="H29" s="61">
        <f t="shared" si="4"/>
        <v>0</v>
      </c>
      <c r="K29" s="55"/>
    </row>
    <row r="30" spans="1:11" ht="28.8" x14ac:dyDescent="0.3">
      <c r="A30" s="67"/>
      <c r="B30" s="12" t="s">
        <v>15</v>
      </c>
      <c r="C30" s="44">
        <f t="shared" ref="C30:H30" si="5">(C$20-C14)/(C$20-C$21)</f>
        <v>1</v>
      </c>
      <c r="D30" s="44">
        <f t="shared" si="5"/>
        <v>0.66307160375876883</v>
      </c>
      <c r="E30" s="44">
        <f t="shared" si="5"/>
        <v>0.78228614322890877</v>
      </c>
      <c r="F30" s="44">
        <f t="shared" si="5"/>
        <v>0.4</v>
      </c>
      <c r="G30" s="44">
        <f t="shared" si="5"/>
        <v>0</v>
      </c>
      <c r="H30" s="46">
        <f t="shared" si="5"/>
        <v>1</v>
      </c>
      <c r="K30" s="55"/>
    </row>
    <row r="31" spans="1:11" ht="29.4" thickBot="1" x14ac:dyDescent="0.35">
      <c r="A31" s="67"/>
      <c r="B31" s="22" t="s">
        <v>16</v>
      </c>
      <c r="C31" s="47">
        <f t="shared" ref="C31:H31" si="6">(C$20-C15)/(C$20-C$21)</f>
        <v>0.61751856705985142</v>
      </c>
      <c r="D31" s="47">
        <f t="shared" si="6"/>
        <v>0</v>
      </c>
      <c r="E31" s="47">
        <f t="shared" si="6"/>
        <v>0</v>
      </c>
      <c r="F31" s="47">
        <f t="shared" si="6"/>
        <v>0</v>
      </c>
      <c r="G31" s="47">
        <f t="shared" si="6"/>
        <v>0.97142857142857142</v>
      </c>
      <c r="H31" s="48">
        <f t="shared" si="6"/>
        <v>1</v>
      </c>
      <c r="K31" s="55"/>
    </row>
    <row r="32" spans="1:11" ht="15" thickBot="1" x14ac:dyDescent="0.35">
      <c r="A32" s="67"/>
      <c r="K32" s="55"/>
    </row>
    <row r="33" spans="1:19" ht="43.2" x14ac:dyDescent="0.3">
      <c r="A33" s="67"/>
      <c r="B33" s="8" t="s">
        <v>14</v>
      </c>
      <c r="C33" s="60">
        <f>C29*C$16</f>
        <v>0</v>
      </c>
      <c r="D33" s="60">
        <f t="shared" ref="D33:H33" si="7">D29*D$16</f>
        <v>0.42232862797903875</v>
      </c>
      <c r="E33" s="60">
        <f t="shared" si="7"/>
        <v>0.18887110420107006</v>
      </c>
      <c r="F33" s="60">
        <f t="shared" si="7"/>
        <v>5.025695130796743E-2</v>
      </c>
      <c r="G33" s="60">
        <f t="shared" si="7"/>
        <v>6.066202673692541E-2</v>
      </c>
      <c r="H33" s="61">
        <f t="shared" si="7"/>
        <v>0</v>
      </c>
      <c r="K33" s="55"/>
    </row>
    <row r="34" spans="1:19" ht="28.8" x14ac:dyDescent="0.3">
      <c r="A34" s="67"/>
      <c r="B34" s="12" t="s">
        <v>15</v>
      </c>
      <c r="C34" s="44">
        <f t="shared" ref="C34:H34" si="8">C30*C$16</f>
        <v>0.11738465300394262</v>
      </c>
      <c r="D34" s="44">
        <f t="shared" si="8"/>
        <v>0.28003412066730166</v>
      </c>
      <c r="E34" s="44">
        <f t="shared" si="8"/>
        <v>0.14775124767284045</v>
      </c>
      <c r="F34" s="44">
        <f t="shared" si="8"/>
        <v>2.0102780523186974E-2</v>
      </c>
      <c r="G34" s="44">
        <f t="shared" si="8"/>
        <v>0</v>
      </c>
      <c r="H34" s="46">
        <f t="shared" si="8"/>
        <v>0.16049663677105566</v>
      </c>
      <c r="K34" s="55"/>
    </row>
    <row r="35" spans="1:19" ht="29.4" thickBot="1" x14ac:dyDescent="0.35">
      <c r="A35" s="67"/>
      <c r="B35" s="22" t="s">
        <v>16</v>
      </c>
      <c r="C35" s="47">
        <f t="shared" ref="C35:H35" si="9">C31*C$16</f>
        <v>7.2487202717812532E-2</v>
      </c>
      <c r="D35" s="47">
        <f t="shared" si="9"/>
        <v>0</v>
      </c>
      <c r="E35" s="47">
        <f t="shared" si="9"/>
        <v>0</v>
      </c>
      <c r="F35" s="47">
        <f t="shared" si="9"/>
        <v>0</v>
      </c>
      <c r="G35" s="47">
        <f t="shared" si="9"/>
        <v>5.8928825973013257E-2</v>
      </c>
      <c r="H35" s="48">
        <f t="shared" si="9"/>
        <v>0.16049663677105566</v>
      </c>
      <c r="K35" s="55"/>
    </row>
    <row r="36" spans="1:19" ht="15" thickBot="1" x14ac:dyDescent="0.35">
      <c r="A36" s="68"/>
      <c r="B36" s="56"/>
      <c r="C36" s="56"/>
      <c r="D36" s="56"/>
      <c r="E36" s="56"/>
      <c r="F36" s="56"/>
      <c r="G36" s="56"/>
      <c r="H36" s="56"/>
      <c r="I36" s="56"/>
      <c r="J36" s="56"/>
      <c r="K36" s="57"/>
    </row>
    <row r="37" spans="1:19" ht="15" thickBot="1" x14ac:dyDescent="0.35"/>
    <row r="38" spans="1:19" ht="15" thickBot="1" x14ac:dyDescent="0.35">
      <c r="A38" s="35" t="s">
        <v>49</v>
      </c>
      <c r="B38" s="37"/>
      <c r="C38" s="37"/>
      <c r="D38" s="37"/>
      <c r="E38" s="37"/>
      <c r="F38" s="65"/>
      <c r="G38" s="65"/>
      <c r="H38" s="65"/>
      <c r="I38" s="65"/>
      <c r="J38" s="65"/>
      <c r="K38" s="66"/>
      <c r="L38" s="54"/>
      <c r="M38" s="37" t="s">
        <v>54</v>
      </c>
      <c r="N38" s="37"/>
      <c r="O38" s="37"/>
      <c r="P38" s="37"/>
      <c r="Q38" s="37"/>
      <c r="R38" s="37"/>
      <c r="S38" s="38"/>
    </row>
    <row r="39" spans="1:19" ht="16.8" thickBot="1" x14ac:dyDescent="0.35">
      <c r="A39" s="67"/>
      <c r="E39" s="45" t="s">
        <v>43</v>
      </c>
      <c r="F39" s="60" t="s">
        <v>44</v>
      </c>
      <c r="G39" s="60" t="s">
        <v>45</v>
      </c>
      <c r="H39" s="70" t="s">
        <v>46</v>
      </c>
      <c r="I39" s="73" t="s">
        <v>47</v>
      </c>
      <c r="K39" s="55"/>
      <c r="L39" s="67"/>
      <c r="S39" s="55"/>
    </row>
    <row r="40" spans="1:19" ht="16.2" thickBot="1" x14ac:dyDescent="0.4">
      <c r="A40" s="67"/>
      <c r="B40" s="49"/>
      <c r="C40" s="50" t="s">
        <v>48</v>
      </c>
      <c r="E40" s="69">
        <f>MIN(C25:C27)</f>
        <v>0.29191266546188144</v>
      </c>
      <c r="F40" s="47">
        <f>MAX(C25:C27)</f>
        <v>0.72576943863832732</v>
      </c>
      <c r="G40" s="47">
        <f>MIN(D25:D27)</f>
        <v>0.16049663677105566</v>
      </c>
      <c r="H40" s="71">
        <f>MAX(D25:D27)</f>
        <v>0.42232862797903875</v>
      </c>
      <c r="I40" s="74">
        <v>0.5</v>
      </c>
      <c r="K40" s="55"/>
      <c r="L40" s="67"/>
      <c r="M40" s="49" t="s">
        <v>50</v>
      </c>
      <c r="N40" s="50" t="s">
        <v>51</v>
      </c>
      <c r="O40" s="50" t="s">
        <v>52</v>
      </c>
      <c r="P40" s="9" t="s">
        <v>53</v>
      </c>
      <c r="S40" s="55"/>
    </row>
    <row r="41" spans="1:19" ht="43.2" x14ac:dyDescent="0.3">
      <c r="A41" s="67"/>
      <c r="B41" s="12" t="s">
        <v>14</v>
      </c>
      <c r="C41" s="41">
        <f>($I$40*(C25-$E$40)/($F$40-$E$40))+((1-$I$40)*(D25-$G$40)/($H$40-$G$40))</f>
        <v>0.99579270321562907</v>
      </c>
      <c r="K41" s="55"/>
      <c r="L41" s="67"/>
      <c r="M41" s="12" t="s">
        <v>14</v>
      </c>
      <c r="N41" s="41">
        <f>RANK(C25,$C$25:$C$27,1)</f>
        <v>2</v>
      </c>
      <c r="O41" s="41">
        <f>RANK(D25,$D$25:$D$27,1)</f>
        <v>3</v>
      </c>
      <c r="P41" s="11">
        <f>RANK(C41,$C$41:$C$43,1)</f>
        <v>3</v>
      </c>
      <c r="S41" s="55"/>
    </row>
    <row r="42" spans="1:19" ht="28.8" x14ac:dyDescent="0.3">
      <c r="A42" s="67"/>
      <c r="B42" s="12" t="s">
        <v>15</v>
      </c>
      <c r="C42" s="41">
        <f>($I$40*(C26-$E$40)/($F$40-$E$40))+((1-$I$40)*(D26-$G$40)/($H$40-$G$40))</f>
        <v>0.72827134939613403</v>
      </c>
      <c r="K42" s="55"/>
      <c r="L42" s="67"/>
      <c r="M42" s="12" t="s">
        <v>15</v>
      </c>
      <c r="N42" s="41">
        <f t="shared" ref="N42:N43" si="10">RANK(C26,$C$25:$C$27,1)</f>
        <v>3</v>
      </c>
      <c r="O42" s="41">
        <f t="shared" ref="O42:O43" si="11">RANK(D26,$D$25:$D$27,1)</f>
        <v>2</v>
      </c>
      <c r="P42" s="11">
        <f t="shared" ref="P42:P43" si="12">RANK(C42,$C$41:$C$43,1)</f>
        <v>2</v>
      </c>
      <c r="S42" s="55"/>
    </row>
    <row r="43" spans="1:19" ht="29.4" thickBot="1" x14ac:dyDescent="0.35">
      <c r="A43" s="67"/>
      <c r="B43" s="22" t="s">
        <v>16</v>
      </c>
      <c r="C43" s="41">
        <f>($I$40*(C27-$E$40)/($F$40-$E$40))+((1-$I$40)*(D27-$G$40)/($H$40-$G$40))</f>
        <v>0</v>
      </c>
      <c r="K43" s="55"/>
      <c r="L43" s="67"/>
      <c r="M43" s="4" t="s">
        <v>16</v>
      </c>
      <c r="N43" s="1">
        <f t="shared" si="10"/>
        <v>1</v>
      </c>
      <c r="O43" s="1">
        <f t="shared" si="11"/>
        <v>1</v>
      </c>
      <c r="P43" s="2">
        <f t="shared" si="12"/>
        <v>1</v>
      </c>
      <c r="S43" s="55"/>
    </row>
    <row r="44" spans="1:19" ht="15" thickBot="1" x14ac:dyDescent="0.35">
      <c r="A44" s="68"/>
      <c r="B44" s="56"/>
      <c r="C44" s="56"/>
      <c r="D44" s="56"/>
      <c r="E44" s="56"/>
      <c r="F44" s="56"/>
      <c r="G44" s="56"/>
      <c r="H44" s="56"/>
      <c r="I44" s="56"/>
      <c r="J44" s="56"/>
      <c r="K44" s="57"/>
      <c r="L44" s="68"/>
      <c r="M44" s="56"/>
      <c r="N44" s="56"/>
      <c r="O44" s="56"/>
      <c r="P44" s="56"/>
      <c r="Q44" s="56"/>
      <c r="R44" s="56"/>
      <c r="S44" s="57"/>
    </row>
    <row r="45" spans="1:19" x14ac:dyDescent="0.3">
      <c r="L45" s="54"/>
      <c r="M45" s="37" t="s">
        <v>56</v>
      </c>
      <c r="N45" s="37"/>
      <c r="O45" s="37"/>
      <c r="P45" s="37"/>
      <c r="Q45" s="37"/>
      <c r="R45" s="37"/>
      <c r="S45" s="66"/>
    </row>
    <row r="46" spans="1:19" ht="15" thickBot="1" x14ac:dyDescent="0.35">
      <c r="L46" s="67"/>
      <c r="S46" s="55"/>
    </row>
    <row r="47" spans="1:19" x14ac:dyDescent="0.3">
      <c r="L47" s="67"/>
      <c r="M47" s="8" t="s">
        <v>55</v>
      </c>
      <c r="N47" s="61">
        <f>1/(3-1)</f>
        <v>0.5</v>
      </c>
      <c r="S47" s="55"/>
    </row>
    <row r="48" spans="1:19" ht="16.2" thickBot="1" x14ac:dyDescent="0.35">
      <c r="L48" s="67"/>
      <c r="M48" s="22" t="s">
        <v>57</v>
      </c>
      <c r="N48" s="48">
        <f>C42-C43</f>
        <v>0.72827134939613403</v>
      </c>
      <c r="S48" s="55"/>
    </row>
    <row r="49" spans="12:19" x14ac:dyDescent="0.3">
      <c r="L49" s="67"/>
      <c r="S49" s="55"/>
    </row>
    <row r="50" spans="12:19" x14ac:dyDescent="0.3">
      <c r="L50" s="67"/>
      <c r="S50" s="55"/>
    </row>
    <row r="51" spans="12:19" x14ac:dyDescent="0.3">
      <c r="L51" s="67"/>
      <c r="S51" s="55"/>
    </row>
    <row r="52" spans="12:19" x14ac:dyDescent="0.3">
      <c r="L52" s="67"/>
      <c r="S52" s="55"/>
    </row>
    <row r="53" spans="12:19" ht="15" thickBot="1" x14ac:dyDescent="0.35">
      <c r="L53" s="68"/>
      <c r="M53" s="56"/>
      <c r="N53" s="56"/>
      <c r="O53" s="56"/>
      <c r="P53" s="56"/>
      <c r="Q53" s="56"/>
      <c r="R53" s="56"/>
      <c r="S53" s="57"/>
    </row>
  </sheetData>
  <mergeCells count="1">
    <mergeCell ref="B3:C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7BAB-9D44-40E4-BB0A-B653A7CDB524}">
  <dimension ref="B2:Z60"/>
  <sheetViews>
    <sheetView zoomScale="51" workbookViewId="0">
      <selection activeCell="G21" sqref="G21"/>
    </sheetView>
  </sheetViews>
  <sheetFormatPr defaultRowHeight="14.4" x14ac:dyDescent="0.3"/>
  <sheetData>
    <row r="2" spans="2:16" ht="15" thickBot="1" x14ac:dyDescent="0.35"/>
    <row r="3" spans="2:16" ht="15" thickBot="1" x14ac:dyDescent="0.35">
      <c r="B3" s="177" t="s">
        <v>7</v>
      </c>
      <c r="C3" s="178"/>
    </row>
    <row r="4" spans="2:16" ht="15.6" x14ac:dyDescent="0.3">
      <c r="B4" s="8" t="s">
        <v>1</v>
      </c>
      <c r="C4" s="9">
        <v>0.11738465300394262</v>
      </c>
    </row>
    <row r="5" spans="2:16" ht="15.6" x14ac:dyDescent="0.3">
      <c r="B5" s="10" t="s">
        <v>2</v>
      </c>
      <c r="C5" s="11">
        <v>0.42232862797903875</v>
      </c>
    </row>
    <row r="6" spans="2:16" ht="15.6" x14ac:dyDescent="0.3">
      <c r="B6" s="10" t="s">
        <v>3</v>
      </c>
      <c r="C6" s="11">
        <v>0.18887110420107006</v>
      </c>
    </row>
    <row r="7" spans="2:16" ht="31.2" x14ac:dyDescent="0.3">
      <c r="B7" s="12" t="s">
        <v>4</v>
      </c>
      <c r="C7" s="11">
        <v>5.025695130796743E-2</v>
      </c>
    </row>
    <row r="8" spans="2:16" ht="15.6" x14ac:dyDescent="0.3">
      <c r="B8" s="10" t="s">
        <v>5</v>
      </c>
      <c r="C8" s="11">
        <v>6.066202673692541E-2</v>
      </c>
    </row>
    <row r="9" spans="2:16" ht="16.2" thickBot="1" x14ac:dyDescent="0.35">
      <c r="B9" s="13" t="s">
        <v>6</v>
      </c>
      <c r="C9" s="14">
        <v>0.16049663677105566</v>
      </c>
    </row>
    <row r="10" spans="2:16" ht="15" thickBot="1" x14ac:dyDescent="0.35"/>
    <row r="11" spans="2:16" ht="15" thickBot="1" x14ac:dyDescent="0.35">
      <c r="B11" s="27"/>
      <c r="C11" s="28"/>
      <c r="D11" s="30" t="s">
        <v>17</v>
      </c>
      <c r="E11" s="28"/>
      <c r="F11" s="28"/>
      <c r="G11" s="28"/>
      <c r="H11" s="29"/>
    </row>
    <row r="12" spans="2:16" ht="28.8" x14ac:dyDescent="0.3">
      <c r="B12" s="15" t="s">
        <v>24</v>
      </c>
      <c r="C12" s="32" t="s">
        <v>8</v>
      </c>
      <c r="D12" s="33" t="s">
        <v>9</v>
      </c>
      <c r="E12" s="33" t="s">
        <v>10</v>
      </c>
      <c r="F12" s="33" t="s">
        <v>11</v>
      </c>
      <c r="G12" s="33" t="s">
        <v>12</v>
      </c>
      <c r="H12" s="34" t="s">
        <v>13</v>
      </c>
    </row>
    <row r="13" spans="2:16" ht="72.599999999999994" thickBot="1" x14ac:dyDescent="0.35">
      <c r="B13" s="12" t="s">
        <v>14</v>
      </c>
      <c r="C13" s="18">
        <v>42860</v>
      </c>
      <c r="D13" s="19">
        <v>0.14617803599661242</v>
      </c>
      <c r="E13" s="19">
        <v>0.16854719423553272</v>
      </c>
      <c r="F13" s="20">
        <v>16</v>
      </c>
      <c r="G13" s="20">
        <v>155</v>
      </c>
      <c r="H13" s="21">
        <v>5</v>
      </c>
    </row>
    <row r="14" spans="2:16" ht="43.8" thickBot="1" x14ac:dyDescent="0.35">
      <c r="B14" s="12" t="s">
        <v>15</v>
      </c>
      <c r="C14" s="18">
        <v>65750</v>
      </c>
      <c r="D14" s="19">
        <v>0.28767686500719952</v>
      </c>
      <c r="E14" s="19">
        <v>0.25693304700195263</v>
      </c>
      <c r="F14" s="20">
        <v>19</v>
      </c>
      <c r="G14" s="20">
        <v>190</v>
      </c>
      <c r="H14" s="21">
        <v>3</v>
      </c>
      <c r="K14" s="35"/>
      <c r="L14" s="36" t="s">
        <v>7</v>
      </c>
      <c r="M14" s="37"/>
      <c r="N14" s="37"/>
      <c r="O14" s="37"/>
      <c r="P14" s="38"/>
    </row>
    <row r="15" spans="2:16" ht="43.8" thickBot="1" x14ac:dyDescent="0.35">
      <c r="B15" s="22" t="s">
        <v>16</v>
      </c>
      <c r="C15" s="23">
        <v>56995</v>
      </c>
      <c r="D15" s="24">
        <v>0.56614509899618815</v>
      </c>
      <c r="E15" s="24">
        <v>0.5745197587625146</v>
      </c>
      <c r="F15" s="25">
        <v>21</v>
      </c>
      <c r="G15" s="25">
        <v>156</v>
      </c>
      <c r="H15" s="26">
        <v>3</v>
      </c>
      <c r="K15" s="8" t="s">
        <v>8</v>
      </c>
      <c r="L15" s="16" t="s">
        <v>9</v>
      </c>
      <c r="M15" s="16" t="s">
        <v>10</v>
      </c>
      <c r="N15" s="16" t="s">
        <v>11</v>
      </c>
      <c r="O15" s="16" t="s">
        <v>12</v>
      </c>
      <c r="P15" s="17" t="s">
        <v>13</v>
      </c>
    </row>
    <row r="16" spans="2:16" ht="15" thickBot="1" x14ac:dyDescent="0.35">
      <c r="K16" s="42">
        <f>C4</f>
        <v>0.11738465300394262</v>
      </c>
      <c r="L16" s="43">
        <f>C5</f>
        <v>0.42232862797903875</v>
      </c>
      <c r="M16" s="43">
        <f>C6</f>
        <v>0.18887110420107006</v>
      </c>
      <c r="N16" s="43">
        <f>C7</f>
        <v>5.025695130796743E-2</v>
      </c>
      <c r="O16" s="43">
        <f>C8</f>
        <v>6.066202673692541E-2</v>
      </c>
      <c r="P16" s="14">
        <f>C9</f>
        <v>0.16049663677105566</v>
      </c>
    </row>
    <row r="17" spans="2:26" ht="15" thickBot="1" x14ac:dyDescent="0.35">
      <c r="B17" s="27"/>
      <c r="C17" s="28" t="s">
        <v>18</v>
      </c>
      <c r="D17" s="28"/>
      <c r="E17" s="28"/>
      <c r="F17" s="28"/>
      <c r="G17" s="28"/>
      <c r="H17" s="29"/>
      <c r="J17" s="27"/>
      <c r="K17" s="39"/>
      <c r="L17" s="39" t="s">
        <v>19</v>
      </c>
      <c r="M17" s="39"/>
      <c r="N17" s="39"/>
      <c r="O17" s="39"/>
      <c r="P17" s="40"/>
    </row>
    <row r="18" spans="2:26" ht="28.8" x14ac:dyDescent="0.3">
      <c r="B18" s="15" t="s">
        <v>23</v>
      </c>
      <c r="C18" s="32" t="s">
        <v>8</v>
      </c>
      <c r="D18" s="33" t="s">
        <v>9</v>
      </c>
      <c r="E18" s="33" t="s">
        <v>10</v>
      </c>
      <c r="F18" s="33" t="s">
        <v>11</v>
      </c>
      <c r="G18" s="33" t="s">
        <v>12</v>
      </c>
      <c r="H18" s="34" t="s">
        <v>13</v>
      </c>
      <c r="J18" s="15" t="s">
        <v>25</v>
      </c>
      <c r="K18" s="32" t="s">
        <v>8</v>
      </c>
      <c r="L18" s="33" t="s">
        <v>9</v>
      </c>
      <c r="M18" s="33" t="s">
        <v>10</v>
      </c>
      <c r="N18" s="33" t="s">
        <v>11</v>
      </c>
      <c r="O18" s="33" t="s">
        <v>12</v>
      </c>
      <c r="P18" s="34" t="s">
        <v>13</v>
      </c>
    </row>
    <row r="19" spans="2:26" ht="72" x14ac:dyDescent="0.3">
      <c r="B19" s="12" t="s">
        <v>14</v>
      </c>
      <c r="C19" s="20">
        <f>(1/C13)/(1/$C$13+1/$C$14+1/$C$15)</f>
        <v>0.41599779300623801</v>
      </c>
      <c r="D19" s="20">
        <f t="shared" ref="D19:H21" si="0">D13/SUM(D$13:D$15)</f>
        <v>0.14617803599661242</v>
      </c>
      <c r="E19" s="20">
        <f t="shared" si="0"/>
        <v>0.16854719423553272</v>
      </c>
      <c r="F19" s="20">
        <f t="shared" si="0"/>
        <v>0.2857142857142857</v>
      </c>
      <c r="G19" s="20">
        <f t="shared" si="0"/>
        <v>0.30938123752495011</v>
      </c>
      <c r="H19" s="21">
        <f t="shared" si="0"/>
        <v>0.45454545454545453</v>
      </c>
      <c r="J19" s="12" t="s">
        <v>14</v>
      </c>
      <c r="K19" s="20">
        <f>C19*K$16</f>
        <v>4.8831756582443195E-2</v>
      </c>
      <c r="L19" s="20">
        <f t="shared" ref="L19:P21" si="1">D19*L$16</f>
        <v>6.1735169383119862E-2</v>
      </c>
      <c r="M19" s="20">
        <f t="shared" si="1"/>
        <v>3.1833694685257298E-2</v>
      </c>
      <c r="N19" s="20">
        <f t="shared" si="1"/>
        <v>1.435912894513355E-2</v>
      </c>
      <c r="O19" s="20">
        <f t="shared" si="1"/>
        <v>1.8767692902641596E-2</v>
      </c>
      <c r="P19" s="20">
        <f t="shared" si="1"/>
        <v>7.2953016714116206E-2</v>
      </c>
      <c r="R19" s="85" t="s">
        <v>14</v>
      </c>
      <c r="S19" s="44">
        <v>1</v>
      </c>
    </row>
    <row r="20" spans="2:26" ht="43.2" x14ac:dyDescent="0.3">
      <c r="B20" s="12" t="s">
        <v>15</v>
      </c>
      <c r="C20" s="20">
        <f t="shared" ref="C20:C21" si="2">(1/C14)/(1/$C$13+1/$C$14+1/$C$15)</f>
        <v>0.27117361837638571</v>
      </c>
      <c r="D20" s="20">
        <f t="shared" si="0"/>
        <v>0.28767686500719952</v>
      </c>
      <c r="E20" s="20">
        <f t="shared" si="0"/>
        <v>0.25693304700195263</v>
      </c>
      <c r="F20" s="20">
        <f t="shared" si="0"/>
        <v>0.3392857142857143</v>
      </c>
      <c r="G20" s="20">
        <f t="shared" si="0"/>
        <v>0.37924151696606784</v>
      </c>
      <c r="H20" s="21">
        <f t="shared" si="0"/>
        <v>0.27272727272727271</v>
      </c>
      <c r="J20" s="12" t="s">
        <v>15</v>
      </c>
      <c r="K20" s="20">
        <f t="shared" ref="K20:K21" si="3">C20*K$16</f>
        <v>3.1831621096935596E-2</v>
      </c>
      <c r="L20" s="20">
        <f t="shared" si="1"/>
        <v>0.12149417569980171</v>
      </c>
      <c r="M20" s="20">
        <f t="shared" si="1"/>
        <v>4.8527228293004224E-2</v>
      </c>
      <c r="N20" s="20">
        <f t="shared" si="1"/>
        <v>1.7051465622346093E-2</v>
      </c>
      <c r="O20" s="20">
        <f t="shared" si="1"/>
        <v>2.300555904194776E-2</v>
      </c>
      <c r="P20" s="20">
        <f t="shared" si="1"/>
        <v>4.3771810028469721E-2</v>
      </c>
      <c r="R20" s="85" t="s">
        <v>15</v>
      </c>
      <c r="S20" s="44">
        <v>2</v>
      </c>
      <c r="U20" s="86" t="s">
        <v>8</v>
      </c>
      <c r="V20" s="86" t="s">
        <v>9</v>
      </c>
      <c r="W20" s="86" t="s">
        <v>10</v>
      </c>
      <c r="X20" s="86" t="s">
        <v>11</v>
      </c>
      <c r="Y20" s="86" t="s">
        <v>12</v>
      </c>
      <c r="Z20" s="86" t="s">
        <v>13</v>
      </c>
    </row>
    <row r="21" spans="2:26" ht="43.8" thickBot="1" x14ac:dyDescent="0.35">
      <c r="B21" s="22" t="s">
        <v>16</v>
      </c>
      <c r="C21" s="25">
        <f t="shared" si="2"/>
        <v>0.31282858861737634</v>
      </c>
      <c r="D21" s="25">
        <f t="shared" si="0"/>
        <v>0.56614509899618815</v>
      </c>
      <c r="E21" s="25">
        <f t="shared" si="0"/>
        <v>0.5745197587625146</v>
      </c>
      <c r="F21" s="25">
        <f t="shared" si="0"/>
        <v>0.375</v>
      </c>
      <c r="G21" s="25">
        <f t="shared" si="0"/>
        <v>0.31137724550898205</v>
      </c>
      <c r="H21" s="26">
        <f t="shared" si="0"/>
        <v>0.27272727272727271</v>
      </c>
      <c r="J21" s="22" t="s">
        <v>16</v>
      </c>
      <c r="K21" s="20">
        <f t="shared" si="3"/>
        <v>3.6721275324563832E-2</v>
      </c>
      <c r="L21" s="20">
        <f t="shared" si="1"/>
        <v>0.2390992828961172</v>
      </c>
      <c r="M21" s="20">
        <f t="shared" si="1"/>
        <v>0.10851018122280853</v>
      </c>
      <c r="N21" s="20">
        <f t="shared" si="1"/>
        <v>1.8846356740487787E-2</v>
      </c>
      <c r="O21" s="20">
        <f t="shared" si="1"/>
        <v>1.8888774792336055E-2</v>
      </c>
      <c r="P21" s="20">
        <f t="shared" si="1"/>
        <v>4.3771810028469721E-2</v>
      </c>
      <c r="R21" s="85" t="s">
        <v>16</v>
      </c>
      <c r="S21" s="44">
        <v>3</v>
      </c>
      <c r="U21" s="44">
        <v>1</v>
      </c>
      <c r="V21" s="44">
        <v>2</v>
      </c>
      <c r="W21" s="44">
        <v>3</v>
      </c>
      <c r="X21" s="44">
        <v>4</v>
      </c>
      <c r="Y21" s="44">
        <v>5</v>
      </c>
      <c r="Z21" s="44">
        <v>6</v>
      </c>
    </row>
    <row r="22" spans="2:26" ht="15" thickBot="1" x14ac:dyDescent="0.35"/>
    <row r="23" spans="2:26" x14ac:dyDescent="0.3">
      <c r="B23" s="35" t="s">
        <v>72</v>
      </c>
      <c r="C23" s="37"/>
      <c r="D23" s="37"/>
      <c r="E23" s="37"/>
      <c r="F23" s="37"/>
      <c r="G23" s="37"/>
      <c r="H23" s="65"/>
      <c r="I23" s="65"/>
      <c r="J23" s="65"/>
      <c r="K23" s="65"/>
      <c r="L23" s="65"/>
      <c r="M23" s="65"/>
      <c r="N23" s="65"/>
      <c r="O23" s="66"/>
    </row>
    <row r="24" spans="2:26" ht="15" thickBot="1" x14ac:dyDescent="0.35">
      <c r="B24" s="67"/>
      <c r="O24" s="55"/>
    </row>
    <row r="25" spans="2:26" ht="15" thickBot="1" x14ac:dyDescent="0.35">
      <c r="B25" s="27"/>
      <c r="C25" s="28"/>
      <c r="D25" s="28" t="s">
        <v>64</v>
      </c>
      <c r="E25" s="28"/>
      <c r="F25" s="28"/>
      <c r="G25" s="29"/>
      <c r="I25" s="35"/>
      <c r="J25" s="37"/>
      <c r="K25" s="37" t="s">
        <v>65</v>
      </c>
      <c r="L25" s="37"/>
      <c r="M25" s="37"/>
      <c r="N25" s="38"/>
      <c r="O25" s="55"/>
    </row>
    <row r="26" spans="2:26" ht="15.6" x14ac:dyDescent="0.35">
      <c r="B26" s="49" t="s">
        <v>58</v>
      </c>
      <c r="C26" s="50">
        <v>6</v>
      </c>
      <c r="D26" s="50"/>
      <c r="E26" s="50"/>
      <c r="F26" s="50"/>
      <c r="G26" s="9"/>
      <c r="I26" s="49" t="s">
        <v>66</v>
      </c>
      <c r="J26" s="50">
        <v>1</v>
      </c>
      <c r="K26" s="50">
        <v>2</v>
      </c>
      <c r="L26" s="50">
        <v>3</v>
      </c>
      <c r="M26" s="50">
        <v>4</v>
      </c>
      <c r="N26" s="9">
        <v>5</v>
      </c>
      <c r="O26" s="55"/>
    </row>
    <row r="27" spans="2:26" ht="15.6" x14ac:dyDescent="0.35">
      <c r="B27" s="84" t="s">
        <v>59</v>
      </c>
      <c r="C27" s="41">
        <v>6</v>
      </c>
      <c r="D27" s="41"/>
      <c r="E27" s="41"/>
      <c r="F27" s="41"/>
      <c r="G27" s="11"/>
      <c r="I27" s="84" t="s">
        <v>67</v>
      </c>
      <c r="J27" s="41">
        <v>1</v>
      </c>
      <c r="K27" s="41">
        <v>2</v>
      </c>
      <c r="L27" s="41">
        <v>3</v>
      </c>
      <c r="M27" s="41">
        <v>4</v>
      </c>
      <c r="N27" s="11">
        <v>5</v>
      </c>
      <c r="O27" s="55"/>
    </row>
    <row r="28" spans="2:26" ht="15.6" x14ac:dyDescent="0.35">
      <c r="B28" s="84" t="s">
        <v>60</v>
      </c>
      <c r="C28" s="41">
        <v>1</v>
      </c>
      <c r="D28" s="41">
        <v>2</v>
      </c>
      <c r="E28" s="41">
        <v>3</v>
      </c>
      <c r="F28" s="41">
        <v>4</v>
      </c>
      <c r="G28" s="11">
        <v>5</v>
      </c>
      <c r="I28" s="84" t="s">
        <v>68</v>
      </c>
      <c r="J28" s="41">
        <v>6</v>
      </c>
      <c r="K28" s="41"/>
      <c r="L28" s="41"/>
      <c r="M28" s="41"/>
      <c r="N28" s="11"/>
      <c r="O28" s="55"/>
    </row>
    <row r="29" spans="2:26" ht="15.6" x14ac:dyDescent="0.35">
      <c r="B29" s="84" t="s">
        <v>61</v>
      </c>
      <c r="C29" s="41">
        <v>1</v>
      </c>
      <c r="D29" s="41">
        <v>5</v>
      </c>
      <c r="E29" s="41">
        <v>6</v>
      </c>
      <c r="F29" s="41"/>
      <c r="G29" s="11"/>
      <c r="I29" s="84" t="s">
        <v>69</v>
      </c>
      <c r="J29" s="41">
        <v>2</v>
      </c>
      <c r="K29" s="41">
        <v>3</v>
      </c>
      <c r="L29" s="41">
        <v>4</v>
      </c>
      <c r="M29" s="41">
        <v>6</v>
      </c>
      <c r="N29" s="11"/>
      <c r="O29" s="55"/>
    </row>
    <row r="30" spans="2:26" ht="15.6" x14ac:dyDescent="0.35">
      <c r="B30" s="84" t="s">
        <v>62</v>
      </c>
      <c r="C30" s="41">
        <v>1</v>
      </c>
      <c r="D30" s="41">
        <v>2</v>
      </c>
      <c r="E30" s="41">
        <v>3</v>
      </c>
      <c r="F30" s="41">
        <v>4</v>
      </c>
      <c r="G30" s="11">
        <v>5</v>
      </c>
      <c r="I30" s="84" t="s">
        <v>70</v>
      </c>
      <c r="J30" s="41">
        <v>6</v>
      </c>
      <c r="K30" s="41"/>
      <c r="L30" s="41"/>
      <c r="M30" s="41"/>
      <c r="N30" s="11"/>
      <c r="O30" s="55"/>
    </row>
    <row r="31" spans="2:26" ht="16.2" thickBot="1" x14ac:dyDescent="0.4">
      <c r="B31" s="42" t="s">
        <v>63</v>
      </c>
      <c r="C31" s="43">
        <v>2</v>
      </c>
      <c r="D31" s="43">
        <v>3</v>
      </c>
      <c r="E31" s="43">
        <v>4</v>
      </c>
      <c r="F31" s="43">
        <v>6</v>
      </c>
      <c r="G31" s="14"/>
      <c r="I31" s="42" t="s">
        <v>71</v>
      </c>
      <c r="J31" s="43">
        <v>1</v>
      </c>
      <c r="K31" s="43">
        <v>5</v>
      </c>
      <c r="L31" s="43">
        <v>6</v>
      </c>
      <c r="M31" s="43"/>
      <c r="N31" s="14"/>
      <c r="O31" s="55"/>
    </row>
    <row r="32" spans="2:26" ht="15" thickBot="1" x14ac:dyDescent="0.35">
      <c r="B32" s="68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7"/>
    </row>
    <row r="33" spans="2:20" ht="15" thickBot="1" x14ac:dyDescent="0.35"/>
    <row r="34" spans="2:20" x14ac:dyDescent="0.3">
      <c r="B34" s="35" t="s">
        <v>73</v>
      </c>
      <c r="C34" s="37"/>
      <c r="D34" s="37"/>
      <c r="E34" s="37"/>
      <c r="F34" s="66"/>
      <c r="H34" s="35" t="s">
        <v>74</v>
      </c>
      <c r="I34" s="37"/>
      <c r="J34" s="37"/>
      <c r="K34" s="37"/>
      <c r="L34" s="66"/>
      <c r="N34" s="64"/>
      <c r="O34" s="64">
        <v>1</v>
      </c>
      <c r="P34" s="64">
        <v>2</v>
      </c>
      <c r="Q34" s="64">
        <v>3</v>
      </c>
      <c r="R34" s="64">
        <v>4</v>
      </c>
      <c r="S34" s="64">
        <v>5</v>
      </c>
      <c r="T34" s="64">
        <v>6</v>
      </c>
    </row>
    <row r="35" spans="2:20" x14ac:dyDescent="0.3">
      <c r="B35" s="67"/>
      <c r="F35" s="55"/>
      <c r="H35" s="67"/>
      <c r="L35" s="55"/>
      <c r="N35" s="64" t="s">
        <v>75</v>
      </c>
      <c r="O35" s="41">
        <f>K19-K20</f>
        <v>1.7000135485507599E-2</v>
      </c>
      <c r="P35" s="41">
        <f t="shared" ref="P35:T35" si="4">L19-L20</f>
        <v>-5.9759006316681851E-2</v>
      </c>
      <c r="Q35" s="41">
        <f t="shared" si="4"/>
        <v>-1.6693533607746926E-2</v>
      </c>
      <c r="R35" s="41">
        <f t="shared" si="4"/>
        <v>-2.692336677212543E-3</v>
      </c>
      <c r="S35" s="41">
        <f t="shared" si="4"/>
        <v>-4.2378661393061637E-3</v>
      </c>
      <c r="T35" s="41">
        <f t="shared" si="4"/>
        <v>2.9181206685646485E-2</v>
      </c>
    </row>
    <row r="36" spans="2:20" x14ac:dyDescent="0.3">
      <c r="B36" s="87" t="s">
        <v>83</v>
      </c>
      <c r="C36" s="88">
        <f>P16</f>
        <v>0.16049663677105566</v>
      </c>
      <c r="D36" s="88">
        <f>P16</f>
        <v>0.16049663677105566</v>
      </c>
      <c r="F36" s="55"/>
      <c r="H36" s="83" t="s">
        <v>82</v>
      </c>
      <c r="I36" s="44">
        <f>MAX(O35:S35)/MAX(O35:T35)</f>
        <v>0.58257136754627581</v>
      </c>
      <c r="J36" s="44">
        <f>MAX(O36:S36)/MAX(O36:T36)</f>
        <v>0.41500961177990658</v>
      </c>
      <c r="L36" s="55"/>
      <c r="N36" s="64" t="s">
        <v>76</v>
      </c>
      <c r="O36" s="41">
        <f>K19-K21</f>
        <v>1.2110481257879363E-2</v>
      </c>
      <c r="P36" s="41">
        <f t="shared" ref="P36:T36" si="5">L19-L21</f>
        <v>-0.17736411351299736</v>
      </c>
      <c r="Q36" s="41">
        <f t="shared" si="5"/>
        <v>-7.6676486537551242E-2</v>
      </c>
      <c r="R36" s="41">
        <f t="shared" si="5"/>
        <v>-4.4872277953542372E-3</v>
      </c>
      <c r="S36" s="41">
        <f t="shared" si="5"/>
        <v>-1.2108188969445904E-4</v>
      </c>
      <c r="T36" s="41">
        <f t="shared" si="5"/>
        <v>2.9181206685646485E-2</v>
      </c>
    </row>
    <row r="37" spans="2:20" x14ac:dyDescent="0.3">
      <c r="B37" s="87">
        <f>SUM(K16:O16)</f>
        <v>0.83950336322894437</v>
      </c>
      <c r="C37" s="88" t="s">
        <v>83</v>
      </c>
      <c r="D37" s="88">
        <f>SUM(K16,O16:P16)</f>
        <v>0.33854331651192371</v>
      </c>
      <c r="F37" s="55"/>
      <c r="H37" s="83">
        <f>MAX(T37)/MAX(O37:T37)</f>
        <v>-0.48831479109619147</v>
      </c>
      <c r="I37" s="44" t="s">
        <v>82</v>
      </c>
      <c r="J37" s="44">
        <f>MAX(P38:R38,T38)/MAX(O38:T38)</f>
        <v>0</v>
      </c>
      <c r="L37" s="55"/>
      <c r="N37" s="64" t="s">
        <v>77</v>
      </c>
      <c r="O37" s="41">
        <f>K20-K19</f>
        <v>-1.7000135485507599E-2</v>
      </c>
      <c r="P37" s="41">
        <f t="shared" ref="P37:T37" si="6">L20-L19</f>
        <v>5.9759006316681851E-2</v>
      </c>
      <c r="Q37" s="41">
        <f t="shared" si="6"/>
        <v>1.6693533607746926E-2</v>
      </c>
      <c r="R37" s="41">
        <f t="shared" si="6"/>
        <v>2.692336677212543E-3</v>
      </c>
      <c r="S37" s="41">
        <f t="shared" si="6"/>
        <v>4.2378661393061637E-3</v>
      </c>
      <c r="T37" s="41">
        <f t="shared" si="6"/>
        <v>-2.9181206685646485E-2</v>
      </c>
    </row>
    <row r="38" spans="2:20" x14ac:dyDescent="0.3">
      <c r="B38" s="87">
        <f>SUM(K16:O16)</f>
        <v>0.83950336322894437</v>
      </c>
      <c r="C38" s="88">
        <f>SUM(L16:N16,P16)</f>
        <v>0.82195332025913193</v>
      </c>
      <c r="D38" s="88" t="s">
        <v>83</v>
      </c>
      <c r="F38" s="55"/>
      <c r="H38" s="83">
        <f>MAX(T40)/MAX(O40:T40)</f>
        <v>-0.16452711942491155</v>
      </c>
      <c r="I38" s="44">
        <f>MAX(O39,S39:T39)/MAX(O39:T39)</f>
        <v>4.1576886788309703E-2</v>
      </c>
      <c r="J38" s="44" t="s">
        <v>82</v>
      </c>
      <c r="L38" s="55"/>
      <c r="N38" s="64" t="s">
        <v>78</v>
      </c>
      <c r="O38" s="41">
        <f>K20-K21</f>
        <v>-4.8896542276282359E-3</v>
      </c>
      <c r="P38" s="41">
        <f t="shared" ref="P38:T38" si="7">L20-L21</f>
        <v>-0.11760510719631549</v>
      </c>
      <c r="Q38" s="41">
        <f t="shared" si="7"/>
        <v>-5.9982952929804309E-2</v>
      </c>
      <c r="R38" s="41">
        <f t="shared" si="7"/>
        <v>-1.7948911181416942E-3</v>
      </c>
      <c r="S38" s="41">
        <f t="shared" si="7"/>
        <v>4.1167842496117046E-3</v>
      </c>
      <c r="T38" s="41">
        <f t="shared" si="7"/>
        <v>0</v>
      </c>
    </row>
    <row r="39" spans="2:20" ht="15" thickBot="1" x14ac:dyDescent="0.35">
      <c r="B39" s="68"/>
      <c r="C39" s="56"/>
      <c r="D39" s="56"/>
      <c r="E39" s="56"/>
      <c r="F39" s="57"/>
      <c r="H39" s="68"/>
      <c r="I39" s="56"/>
      <c r="J39" s="56"/>
      <c r="K39" s="56"/>
      <c r="L39" s="57"/>
      <c r="N39" s="64" t="s">
        <v>79</v>
      </c>
      <c r="O39" s="41">
        <f>K21-K20</f>
        <v>4.8896542276282359E-3</v>
      </c>
      <c r="P39" s="41">
        <f t="shared" ref="P39:T39" si="8">L21-L20</f>
        <v>0.11760510719631549</v>
      </c>
      <c r="Q39" s="41">
        <f t="shared" si="8"/>
        <v>5.9982952929804309E-2</v>
      </c>
      <c r="R39" s="41">
        <f t="shared" si="8"/>
        <v>1.7948911181416942E-3</v>
      </c>
      <c r="S39" s="41">
        <f t="shared" si="8"/>
        <v>-4.1167842496117046E-3</v>
      </c>
      <c r="T39" s="41">
        <f t="shared" si="8"/>
        <v>0</v>
      </c>
    </row>
    <row r="40" spans="2:20" ht="15" thickBot="1" x14ac:dyDescent="0.35">
      <c r="N40" s="64" t="s">
        <v>80</v>
      </c>
      <c r="O40" s="41">
        <f>K21-K19</f>
        <v>-1.2110481257879363E-2</v>
      </c>
      <c r="P40" s="41">
        <f t="shared" ref="P40:T40" si="9">L21-L19</f>
        <v>0.17736411351299736</v>
      </c>
      <c r="Q40" s="41">
        <f t="shared" si="9"/>
        <v>7.6676486537551242E-2</v>
      </c>
      <c r="R40" s="41">
        <f t="shared" si="9"/>
        <v>4.4872277953542372E-3</v>
      </c>
      <c r="S40" s="41">
        <f t="shared" si="9"/>
        <v>1.2108188969445904E-4</v>
      </c>
      <c r="T40" s="41">
        <f t="shared" si="9"/>
        <v>-2.9181206685646485E-2</v>
      </c>
    </row>
    <row r="41" spans="2:20" x14ac:dyDescent="0.3">
      <c r="B41" s="35" t="s">
        <v>84</v>
      </c>
      <c r="C41" s="37"/>
      <c r="D41" s="37"/>
      <c r="E41" s="37"/>
      <c r="F41" s="65"/>
      <c r="G41" s="66"/>
    </row>
    <row r="42" spans="2:20" x14ac:dyDescent="0.3">
      <c r="B42" s="67"/>
      <c r="G42" s="55"/>
    </row>
    <row r="43" spans="2:20" x14ac:dyDescent="0.3">
      <c r="B43" s="89" t="s">
        <v>82</v>
      </c>
      <c r="C43" s="89">
        <f t="shared" ref="C43:D43" si="10">IF(C36&gt;$G$44,1,0)</f>
        <v>0</v>
      </c>
      <c r="D43" s="89">
        <f t="shared" si="10"/>
        <v>0</v>
      </c>
      <c r="G43" s="55"/>
    </row>
    <row r="44" spans="2:20" x14ac:dyDescent="0.3">
      <c r="B44" s="89">
        <f t="shared" ref="B44:D44" si="11">IF(B37&gt;$G$44,1,0)</f>
        <v>1</v>
      </c>
      <c r="C44" s="89" t="s">
        <v>82</v>
      </c>
      <c r="D44" s="89">
        <f t="shared" si="11"/>
        <v>0</v>
      </c>
      <c r="F44" t="s">
        <v>81</v>
      </c>
      <c r="G44" s="55">
        <f>AVERAGE(B36:D38)</f>
        <v>0.52674943946184261</v>
      </c>
    </row>
    <row r="45" spans="2:20" x14ac:dyDescent="0.3">
      <c r="B45" s="89">
        <f t="shared" ref="B45:C45" si="12">IF(B38&gt;$G$44,1,0)</f>
        <v>1</v>
      </c>
      <c r="C45" s="89">
        <f t="shared" si="12"/>
        <v>1</v>
      </c>
      <c r="D45" s="89" t="s">
        <v>82</v>
      </c>
      <c r="G45" s="55"/>
    </row>
    <row r="46" spans="2:20" ht="15" thickBot="1" x14ac:dyDescent="0.35">
      <c r="B46" s="68"/>
      <c r="C46" s="56"/>
      <c r="D46" s="56"/>
      <c r="E46" s="56"/>
      <c r="F46" s="56"/>
      <c r="G46" s="57"/>
    </row>
    <row r="47" spans="2:20" ht="15" thickBot="1" x14ac:dyDescent="0.35"/>
    <row r="48" spans="2:20" x14ac:dyDescent="0.3">
      <c r="B48" s="35" t="s">
        <v>86</v>
      </c>
      <c r="C48" s="37"/>
      <c r="D48" s="37"/>
      <c r="E48" s="37"/>
      <c r="F48" s="65"/>
      <c r="G48" s="66"/>
    </row>
    <row r="49" spans="2:7" ht="15" thickBot="1" x14ac:dyDescent="0.35">
      <c r="B49" s="67"/>
      <c r="G49" s="55"/>
    </row>
    <row r="50" spans="2:7" x14ac:dyDescent="0.3">
      <c r="B50" s="90" t="s">
        <v>82</v>
      </c>
      <c r="C50" s="91">
        <f t="shared" ref="C50:D50" si="13">IF(I36&lt;$G$51,1,0)</f>
        <v>0</v>
      </c>
      <c r="D50" s="92">
        <f t="shared" si="13"/>
        <v>0</v>
      </c>
      <c r="G50" s="55"/>
    </row>
    <row r="51" spans="2:7" x14ac:dyDescent="0.3">
      <c r="B51" s="89">
        <f t="shared" ref="B51:B52" si="14">IF(H37&lt;$G$51,1,0)</f>
        <v>1</v>
      </c>
      <c r="C51" s="72" t="s">
        <v>82</v>
      </c>
      <c r="D51" s="93">
        <f t="shared" ref="D51" si="15">IF(J37&lt;$G$51,1,0)</f>
        <v>1</v>
      </c>
      <c r="F51" t="s">
        <v>85</v>
      </c>
      <c r="G51" s="55">
        <f>AVERAGE(H36:J38)</f>
        <v>6.438599259889817E-2</v>
      </c>
    </row>
    <row r="52" spans="2:7" ht="15" thickBot="1" x14ac:dyDescent="0.35">
      <c r="B52" s="94">
        <f t="shared" si="14"/>
        <v>1</v>
      </c>
      <c r="C52" s="95">
        <f t="shared" ref="C52" si="16">IF(I38&lt;$G$51,1,0)</f>
        <v>1</v>
      </c>
      <c r="D52" s="96" t="s">
        <v>82</v>
      </c>
      <c r="G52" s="55"/>
    </row>
    <row r="53" spans="2:7" ht="15" thickBot="1" x14ac:dyDescent="0.35">
      <c r="B53" s="68"/>
      <c r="C53" s="56"/>
      <c r="D53" s="56"/>
      <c r="E53" s="56"/>
      <c r="F53" s="56"/>
      <c r="G53" s="57"/>
    </row>
    <row r="54" spans="2:7" ht="15" thickBot="1" x14ac:dyDescent="0.35"/>
    <row r="55" spans="2:7" x14ac:dyDescent="0.3">
      <c r="B55" s="35" t="s">
        <v>87</v>
      </c>
      <c r="C55" s="37"/>
      <c r="D55" s="37"/>
      <c r="E55" s="37"/>
      <c r="F55" s="66"/>
    </row>
    <row r="56" spans="2:7" ht="72.599999999999994" thickBot="1" x14ac:dyDescent="0.35">
      <c r="B56" s="67"/>
      <c r="C56" s="12" t="s">
        <v>14</v>
      </c>
      <c r="D56" s="12" t="s">
        <v>15</v>
      </c>
      <c r="E56" s="22" t="s">
        <v>16</v>
      </c>
      <c r="F56" s="55"/>
    </row>
    <row r="57" spans="2:7" ht="72" x14ac:dyDescent="0.3">
      <c r="B57" s="12" t="s">
        <v>14</v>
      </c>
      <c r="C57" s="97" t="s">
        <v>82</v>
      </c>
      <c r="D57" s="98">
        <f>C43*C50</f>
        <v>0</v>
      </c>
      <c r="E57" s="99">
        <f>D43*D50</f>
        <v>0</v>
      </c>
      <c r="F57" s="55"/>
    </row>
    <row r="58" spans="2:7" ht="43.2" x14ac:dyDescent="0.3">
      <c r="B58" s="12" t="s">
        <v>15</v>
      </c>
      <c r="C58" s="87">
        <f>B44*B51</f>
        <v>1</v>
      </c>
      <c r="D58" s="88" t="s">
        <v>82</v>
      </c>
      <c r="E58" s="100">
        <f>D44*D51</f>
        <v>0</v>
      </c>
      <c r="F58" s="55"/>
    </row>
    <row r="59" spans="2:7" ht="43.8" thickBot="1" x14ac:dyDescent="0.35">
      <c r="B59" s="22" t="s">
        <v>16</v>
      </c>
      <c r="C59" s="101">
        <f>B45*B52</f>
        <v>1</v>
      </c>
      <c r="D59" s="102">
        <f>C45*C52</f>
        <v>1</v>
      </c>
      <c r="E59" s="103" t="s">
        <v>82</v>
      </c>
      <c r="F59" s="55"/>
    </row>
    <row r="60" spans="2:7" ht="15" thickBot="1" x14ac:dyDescent="0.35">
      <c r="B60" s="68"/>
      <c r="C60" s="56"/>
      <c r="D60" s="56"/>
      <c r="E60" s="56"/>
      <c r="F60" s="57"/>
    </row>
  </sheetData>
  <mergeCells count="1">
    <mergeCell ref="B3:C3"/>
  </mergeCells>
  <phoneticPr fontId="9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5D05-E5ED-495F-A9A2-E60FF408C8C4}">
  <dimension ref="B2:I53"/>
  <sheetViews>
    <sheetView topLeftCell="AF1" zoomScale="111" workbookViewId="0">
      <selection activeCell="AC13" sqref="AC13"/>
    </sheetView>
  </sheetViews>
  <sheetFormatPr defaultRowHeight="14.4" x14ac:dyDescent="0.3"/>
  <cols>
    <col min="2" max="2" width="13.5546875" bestFit="1" customWidth="1"/>
    <col min="3" max="3" width="9.88671875" bestFit="1" customWidth="1"/>
  </cols>
  <sheetData>
    <row r="2" spans="2:9" ht="15" thickBot="1" x14ac:dyDescent="0.35"/>
    <row r="3" spans="2:9" ht="28.2" customHeight="1" thickBot="1" x14ac:dyDescent="0.35">
      <c r="B3" s="177" t="s">
        <v>7</v>
      </c>
      <c r="C3" s="178"/>
      <c r="D3" s="112" t="s">
        <v>96</v>
      </c>
      <c r="E3" s="112"/>
      <c r="F3" s="112"/>
      <c r="G3" s="112"/>
      <c r="H3" s="112"/>
      <c r="I3" s="112"/>
    </row>
    <row r="4" spans="2:9" ht="15.6" x14ac:dyDescent="0.3">
      <c r="B4" s="8" t="s">
        <v>1</v>
      </c>
      <c r="C4" s="9">
        <v>0.11738465300394262</v>
      </c>
      <c r="D4" s="126" t="str">
        <f t="array" ref="D4:I5">TRANSPOSE(B4:C9)</f>
        <v>W price</v>
      </c>
      <c r="E4" s="113" t="str">
        <v>Wbody quality</v>
      </c>
      <c r="F4" s="113" t="str">
        <v>Wairbag</v>
      </c>
      <c r="G4" s="113" t="str">
        <v>Wfuel economy</v>
      </c>
      <c r="H4" s="113" t="str">
        <v>Wmax speed</v>
      </c>
      <c r="I4" s="113" t="str">
        <v>Wengine capacity</v>
      </c>
    </row>
    <row r="5" spans="2:9" ht="15.6" x14ac:dyDescent="0.3">
      <c r="B5" s="10" t="s">
        <v>2</v>
      </c>
      <c r="C5" s="11">
        <v>0.42232862797903875</v>
      </c>
      <c r="D5" s="126">
        <v>0.11738465300394262</v>
      </c>
      <c r="E5" s="113">
        <v>0.42232862797903875</v>
      </c>
      <c r="F5" s="113">
        <v>0.18887110420107006</v>
      </c>
      <c r="G5" s="113">
        <v>5.025695130796743E-2</v>
      </c>
      <c r="H5" s="113">
        <v>6.066202673692541E-2</v>
      </c>
      <c r="I5" s="113">
        <v>0.16049663677105566</v>
      </c>
    </row>
    <row r="6" spans="2:9" ht="15.6" x14ac:dyDescent="0.3">
      <c r="B6" s="10" t="s">
        <v>3</v>
      </c>
      <c r="C6" s="11">
        <v>0.18887110420107006</v>
      </c>
    </row>
    <row r="7" spans="2:9" ht="31.2" x14ac:dyDescent="0.3">
      <c r="B7" s="12" t="s">
        <v>4</v>
      </c>
      <c r="C7" s="11">
        <v>5.025695130796743E-2</v>
      </c>
    </row>
    <row r="8" spans="2:9" ht="15.6" x14ac:dyDescent="0.3">
      <c r="B8" s="10" t="s">
        <v>5</v>
      </c>
      <c r="C8" s="11">
        <v>6.066202673692541E-2</v>
      </c>
    </row>
    <row r="9" spans="2:9" ht="16.2" thickBot="1" x14ac:dyDescent="0.35">
      <c r="B9" s="13" t="s">
        <v>6</v>
      </c>
      <c r="C9" s="14">
        <v>0.16049663677105566</v>
      </c>
    </row>
    <row r="10" spans="2:9" ht="15" thickBot="1" x14ac:dyDescent="0.35"/>
    <row r="11" spans="2:9" ht="15" thickBot="1" x14ac:dyDescent="0.35">
      <c r="B11" s="27"/>
      <c r="C11" s="28"/>
      <c r="D11" s="30" t="s">
        <v>17</v>
      </c>
      <c r="E11" s="28"/>
      <c r="F11" s="28"/>
      <c r="G11" s="28"/>
      <c r="H11" s="29"/>
    </row>
    <row r="12" spans="2:9" ht="28.8" x14ac:dyDescent="0.3">
      <c r="B12" s="15" t="s">
        <v>24</v>
      </c>
      <c r="C12" s="32" t="s">
        <v>8</v>
      </c>
      <c r="D12" s="33" t="s">
        <v>9</v>
      </c>
      <c r="E12" s="33" t="s">
        <v>10</v>
      </c>
      <c r="F12" s="33" t="s">
        <v>11</v>
      </c>
      <c r="G12" s="33" t="s">
        <v>12</v>
      </c>
      <c r="H12" s="34" t="s">
        <v>13</v>
      </c>
    </row>
    <row r="13" spans="2:9" ht="72" x14ac:dyDescent="0.3">
      <c r="B13" s="12" t="s">
        <v>14</v>
      </c>
      <c r="C13" s="18">
        <v>42860</v>
      </c>
      <c r="D13" s="19">
        <v>0.14617803599661242</v>
      </c>
      <c r="E13" s="19">
        <v>0.16854719423553272</v>
      </c>
      <c r="F13" s="20">
        <v>16</v>
      </c>
      <c r="G13" s="20">
        <v>155</v>
      </c>
      <c r="H13" s="21">
        <v>5</v>
      </c>
    </row>
    <row r="14" spans="2:9" ht="43.2" x14ac:dyDescent="0.3">
      <c r="B14" s="12" t="s">
        <v>15</v>
      </c>
      <c r="C14" s="18">
        <v>65750</v>
      </c>
      <c r="D14" s="19">
        <v>0.28767686500719952</v>
      </c>
      <c r="E14" s="19">
        <v>0.25693304700195263</v>
      </c>
      <c r="F14" s="20">
        <v>19</v>
      </c>
      <c r="G14" s="20">
        <v>190</v>
      </c>
      <c r="H14" s="21">
        <v>3</v>
      </c>
    </row>
    <row r="15" spans="2:9" ht="29.4" thickBot="1" x14ac:dyDescent="0.35">
      <c r="B15" s="22" t="s">
        <v>16</v>
      </c>
      <c r="C15" s="23">
        <v>56995</v>
      </c>
      <c r="D15" s="24">
        <v>0.56614509899618815</v>
      </c>
      <c r="E15" s="24">
        <v>0.5745197587625146</v>
      </c>
      <c r="F15" s="25">
        <v>21</v>
      </c>
      <c r="G15" s="25">
        <v>156</v>
      </c>
      <c r="H15" s="26">
        <v>3</v>
      </c>
    </row>
    <row r="16" spans="2:9" ht="15" thickBot="1" x14ac:dyDescent="0.35"/>
    <row r="17" spans="2:8" ht="15.6" x14ac:dyDescent="0.35">
      <c r="B17" s="35"/>
      <c r="C17" s="37"/>
      <c r="D17" s="37"/>
      <c r="E17" s="37" t="s">
        <v>94</v>
      </c>
      <c r="F17" s="37"/>
      <c r="G17" s="37"/>
      <c r="H17" s="38"/>
    </row>
    <row r="18" spans="2:8" ht="28.8" x14ac:dyDescent="0.3">
      <c r="B18" s="84"/>
      <c r="C18" s="107" t="s">
        <v>8</v>
      </c>
      <c r="D18" s="108" t="s">
        <v>9</v>
      </c>
      <c r="E18" s="108" t="s">
        <v>10</v>
      </c>
      <c r="F18" s="108" t="s">
        <v>11</v>
      </c>
      <c r="G18" s="108" t="s">
        <v>12</v>
      </c>
      <c r="H18" s="109" t="s">
        <v>13</v>
      </c>
    </row>
    <row r="19" spans="2:8" x14ac:dyDescent="0.3">
      <c r="B19" s="84" t="s">
        <v>88</v>
      </c>
      <c r="C19" s="122">
        <f>C14-C13</f>
        <v>22890</v>
      </c>
      <c r="D19" s="41">
        <f>D13-D14</f>
        <v>-0.14149882901058711</v>
      </c>
      <c r="E19" s="41">
        <f t="shared" ref="E19:H19" si="0">E13-E14</f>
        <v>-8.8385852766419915E-2</v>
      </c>
      <c r="F19" s="41">
        <f t="shared" si="0"/>
        <v>-3</v>
      </c>
      <c r="G19" s="41">
        <f t="shared" si="0"/>
        <v>-35</v>
      </c>
      <c r="H19" s="11">
        <f t="shared" si="0"/>
        <v>2</v>
      </c>
    </row>
    <row r="20" spans="2:8" x14ac:dyDescent="0.3">
      <c r="B20" s="84" t="s">
        <v>89</v>
      </c>
      <c r="C20" s="123">
        <f>C15-C13</f>
        <v>14135</v>
      </c>
      <c r="D20" s="41">
        <f>D13-D15</f>
        <v>-0.41996706299957576</v>
      </c>
      <c r="E20" s="41">
        <f t="shared" ref="E20:H20" si="1">E13-E15</f>
        <v>-0.40597256452698188</v>
      </c>
      <c r="F20" s="41">
        <f t="shared" si="1"/>
        <v>-5</v>
      </c>
      <c r="G20" s="41">
        <f t="shared" si="1"/>
        <v>-1</v>
      </c>
      <c r="H20" s="11">
        <f t="shared" si="1"/>
        <v>2</v>
      </c>
    </row>
    <row r="21" spans="2:8" x14ac:dyDescent="0.3">
      <c r="B21" s="84" t="s">
        <v>90</v>
      </c>
      <c r="C21" s="124">
        <f>C15-C14</f>
        <v>-8755</v>
      </c>
      <c r="D21" s="41">
        <f>D14-D15</f>
        <v>-0.27846823398898862</v>
      </c>
      <c r="E21" s="41">
        <f t="shared" ref="E21:H21" si="2">E14-E15</f>
        <v>-0.31758671176056197</v>
      </c>
      <c r="F21" s="41">
        <f t="shared" si="2"/>
        <v>-2</v>
      </c>
      <c r="G21" s="41">
        <f t="shared" si="2"/>
        <v>34</v>
      </c>
      <c r="H21" s="11">
        <f t="shared" si="2"/>
        <v>0</v>
      </c>
    </row>
    <row r="22" spans="2:8" x14ac:dyDescent="0.3">
      <c r="B22" s="84" t="s">
        <v>91</v>
      </c>
      <c r="C22" s="124">
        <f>C13-C14</f>
        <v>-22890</v>
      </c>
      <c r="D22" s="41">
        <f>D14-D13</f>
        <v>0.14149882901058711</v>
      </c>
      <c r="E22" s="41">
        <f t="shared" ref="E22:H22" si="3">E14-E13</f>
        <v>8.8385852766419915E-2</v>
      </c>
      <c r="F22" s="41">
        <f t="shared" si="3"/>
        <v>3</v>
      </c>
      <c r="G22" s="41">
        <f t="shared" si="3"/>
        <v>35</v>
      </c>
      <c r="H22" s="11">
        <f t="shared" si="3"/>
        <v>-2</v>
      </c>
    </row>
    <row r="23" spans="2:8" x14ac:dyDescent="0.3">
      <c r="B23" s="84" t="s">
        <v>92</v>
      </c>
      <c r="C23" s="124">
        <f>C13-C15</f>
        <v>-14135</v>
      </c>
      <c r="D23" s="41">
        <f>D15-D13</f>
        <v>0.41996706299957576</v>
      </c>
      <c r="E23" s="41">
        <f t="shared" ref="E23:H23" si="4">E15-E13</f>
        <v>0.40597256452698188</v>
      </c>
      <c r="F23" s="41">
        <f t="shared" si="4"/>
        <v>5</v>
      </c>
      <c r="G23" s="41">
        <f t="shared" si="4"/>
        <v>1</v>
      </c>
      <c r="H23" s="11">
        <f t="shared" si="4"/>
        <v>-2</v>
      </c>
    </row>
    <row r="24" spans="2:8" ht="15" thickBot="1" x14ac:dyDescent="0.35">
      <c r="B24" s="42" t="s">
        <v>93</v>
      </c>
      <c r="C24" s="125">
        <f>C14-C15</f>
        <v>8755</v>
      </c>
      <c r="D24" s="43">
        <f>D15-D14</f>
        <v>0.27846823398898862</v>
      </c>
      <c r="E24" s="43">
        <f t="shared" ref="E24:H24" si="5">E15-E14</f>
        <v>0.31758671176056197</v>
      </c>
      <c r="F24" s="43">
        <f t="shared" si="5"/>
        <v>2</v>
      </c>
      <c r="G24" s="43">
        <f t="shared" si="5"/>
        <v>-34</v>
      </c>
      <c r="H24" s="14">
        <f t="shared" si="5"/>
        <v>0</v>
      </c>
    </row>
    <row r="25" spans="2:8" ht="15" thickBot="1" x14ac:dyDescent="0.35"/>
    <row r="26" spans="2:8" ht="16.2" thickBot="1" x14ac:dyDescent="0.4">
      <c r="B26" s="35"/>
      <c r="C26" s="37"/>
      <c r="D26" s="37"/>
      <c r="E26" s="114" t="s">
        <v>98</v>
      </c>
      <c r="F26" s="114"/>
      <c r="G26" s="37"/>
      <c r="H26" s="38"/>
    </row>
    <row r="27" spans="2:8" ht="28.8" x14ac:dyDescent="0.3">
      <c r="B27" s="84"/>
      <c r="C27" s="104" t="s">
        <v>8</v>
      </c>
      <c r="D27" s="105" t="s">
        <v>9</v>
      </c>
      <c r="E27" s="105" t="s">
        <v>10</v>
      </c>
      <c r="F27" s="105" t="s">
        <v>11</v>
      </c>
      <c r="G27" s="105" t="s">
        <v>12</v>
      </c>
      <c r="H27" s="106" t="s">
        <v>13</v>
      </c>
    </row>
    <row r="28" spans="2:8" x14ac:dyDescent="0.3">
      <c r="B28" s="84" t="s">
        <v>88</v>
      </c>
      <c r="C28" s="118">
        <f>IF(C19&lt;=0,0,IF(C19&lt;=3000,0,IF(C19&gt;15000,1,(C19-3000)/12000)))</f>
        <v>1</v>
      </c>
      <c r="D28" s="118">
        <f>IF(D19&lt;=0,0,IF(D19&lt;=0,0,IF(D19&gt;0.5,1,2*D19)))</f>
        <v>0</v>
      </c>
      <c r="E28" s="118">
        <f>IF(E19&lt;=0,0,IF(E19&lt;=0,0,IF(E19&gt;0.5,1,2*E19)))</f>
        <v>0</v>
      </c>
      <c r="F28" s="118">
        <f>IF(F19&lt;=0,0,IF(F19&lt;=0,0,IF(F19&gt;0,1-EXP(-POWER(F19,2)/8),"error")))</f>
        <v>0</v>
      </c>
      <c r="G28" s="118">
        <f>IF(G19&lt;=0,0,IF(G19&lt;=10,0,IF(G19&gt;30,1,(G19-10)/20)))</f>
        <v>0</v>
      </c>
      <c r="H28" s="119">
        <f>IF(H19&lt;=0,0,IF(H19&lt;=1.5,0,IF(H19&gt;1.5,1,"error")))</f>
        <v>1</v>
      </c>
    </row>
    <row r="29" spans="2:8" x14ac:dyDescent="0.3">
      <c r="B29" s="84" t="s">
        <v>89</v>
      </c>
      <c r="C29" s="118">
        <f t="shared" ref="C29:C33" si="6">IF(C20&lt;=0,0,IF(C20&lt;=3000,0,IF(C20&gt;15000,1,(C20-3000)/12000)))</f>
        <v>0.92791666666666661</v>
      </c>
      <c r="D29" s="118">
        <f t="shared" ref="D29:E33" si="7">IF(D20&lt;=0,0,IF(D20&lt;=0,0,IF(D20&gt;0.5,1,2*D20)))</f>
        <v>0</v>
      </c>
      <c r="E29" s="118">
        <f t="shared" si="7"/>
        <v>0</v>
      </c>
      <c r="F29" s="118">
        <f t="shared" ref="F29:F33" si="8">IF(F20&lt;=0,0,IF(F20&lt;=0,0,IF(F20&gt;0,1-EXP(-POWER(F20,2)/8),"error")))</f>
        <v>0</v>
      </c>
      <c r="G29" s="118">
        <f t="shared" ref="G29:G33" si="9">IF(G20&lt;=0,0,IF(G20&lt;=10,0,IF(G20&gt;30,1,(G20-10)/20)))</f>
        <v>0</v>
      </c>
      <c r="H29" s="119">
        <f t="shared" ref="H29:H33" si="10">IF(H20&lt;=0,0,IF(H20&lt;=1.5,0,IF(H20&gt;1.5,1,"error")))</f>
        <v>1</v>
      </c>
    </row>
    <row r="30" spans="2:8" x14ac:dyDescent="0.3">
      <c r="B30" s="84" t="s">
        <v>90</v>
      </c>
      <c r="C30" s="118">
        <f t="shared" si="6"/>
        <v>0</v>
      </c>
      <c r="D30" s="118">
        <f t="shared" si="7"/>
        <v>0</v>
      </c>
      <c r="E30" s="118">
        <f t="shared" si="7"/>
        <v>0</v>
      </c>
      <c r="F30" s="118">
        <f t="shared" si="8"/>
        <v>0</v>
      </c>
      <c r="G30" s="118">
        <f t="shared" si="9"/>
        <v>1</v>
      </c>
      <c r="H30" s="119">
        <f t="shared" si="10"/>
        <v>0</v>
      </c>
    </row>
    <row r="31" spans="2:8" x14ac:dyDescent="0.3">
      <c r="B31" s="84" t="s">
        <v>91</v>
      </c>
      <c r="C31" s="118">
        <f t="shared" si="6"/>
        <v>0</v>
      </c>
      <c r="D31" s="118">
        <f t="shared" si="7"/>
        <v>0.28299765802117421</v>
      </c>
      <c r="E31" s="118">
        <f t="shared" si="7"/>
        <v>0.17677170553283983</v>
      </c>
      <c r="F31" s="118">
        <f t="shared" si="8"/>
        <v>0.67534753264165026</v>
      </c>
      <c r="G31" s="118">
        <f t="shared" si="9"/>
        <v>1</v>
      </c>
      <c r="H31" s="119">
        <f t="shared" si="10"/>
        <v>0</v>
      </c>
    </row>
    <row r="32" spans="2:8" x14ac:dyDescent="0.3">
      <c r="B32" s="84" t="s">
        <v>92</v>
      </c>
      <c r="C32" s="118">
        <f t="shared" si="6"/>
        <v>0</v>
      </c>
      <c r="D32" s="118">
        <f t="shared" si="7"/>
        <v>0.83993412599915152</v>
      </c>
      <c r="E32" s="118">
        <f t="shared" si="7"/>
        <v>0.81194512905396377</v>
      </c>
      <c r="F32" s="118">
        <f t="shared" si="8"/>
        <v>0.95606306637659255</v>
      </c>
      <c r="G32" s="118">
        <f t="shared" si="9"/>
        <v>0</v>
      </c>
      <c r="H32" s="119">
        <f t="shared" si="10"/>
        <v>0</v>
      </c>
    </row>
    <row r="33" spans="2:8" ht="15" thickBot="1" x14ac:dyDescent="0.35">
      <c r="B33" s="42" t="s">
        <v>93</v>
      </c>
      <c r="C33" s="120">
        <f t="shared" si="6"/>
        <v>0.47958333333333331</v>
      </c>
      <c r="D33" s="120">
        <f t="shared" si="7"/>
        <v>0.55693646797797725</v>
      </c>
      <c r="E33" s="120">
        <f t="shared" si="7"/>
        <v>0.63517342352112394</v>
      </c>
      <c r="F33" s="120">
        <f t="shared" si="8"/>
        <v>0.39346934028736658</v>
      </c>
      <c r="G33" s="120">
        <f t="shared" si="9"/>
        <v>0</v>
      </c>
      <c r="H33" s="121">
        <f t="shared" si="10"/>
        <v>0</v>
      </c>
    </row>
    <row r="35" spans="2:8" x14ac:dyDescent="0.3">
      <c r="B35" s="111" t="s">
        <v>97</v>
      </c>
      <c r="C35" s="111"/>
    </row>
    <row r="36" spans="2:8" x14ac:dyDescent="0.3">
      <c r="B36" s="64"/>
      <c r="C36" s="110" t="s">
        <v>95</v>
      </c>
    </row>
    <row r="37" spans="2:8" x14ac:dyDescent="0.3">
      <c r="B37" s="116" t="s">
        <v>88</v>
      </c>
      <c r="C37" s="116">
        <f t="shared" ref="C37:C42" si="11">SUMPRODUCT(C28:H28,$D$5:$I$5)/SUM($C$4:$C$9)</f>
        <v>0.27788128977499826</v>
      </c>
    </row>
    <row r="38" spans="2:8" x14ac:dyDescent="0.3">
      <c r="B38" s="116" t="s">
        <v>89</v>
      </c>
      <c r="C38" s="116">
        <f t="shared" si="11"/>
        <v>0.26941981270429738</v>
      </c>
    </row>
    <row r="39" spans="2:8" x14ac:dyDescent="0.3">
      <c r="B39" s="116" t="s">
        <v>90</v>
      </c>
      <c r="C39" s="116">
        <f t="shared" si="11"/>
        <v>6.066202673692541E-2</v>
      </c>
    </row>
    <row r="40" spans="2:8" x14ac:dyDescent="0.3">
      <c r="B40" s="116" t="s">
        <v>91</v>
      </c>
      <c r="C40" s="116">
        <f t="shared" si="11"/>
        <v>0.24750801464971037</v>
      </c>
    </row>
    <row r="41" spans="2:8" x14ac:dyDescent="0.3">
      <c r="B41" s="116" t="s">
        <v>92</v>
      </c>
      <c r="C41" s="116">
        <f t="shared" si="11"/>
        <v>0.55613001507533155</v>
      </c>
    </row>
    <row r="42" spans="2:8" x14ac:dyDescent="0.3">
      <c r="B42" s="116" t="s">
        <v>93</v>
      </c>
      <c r="C42" s="116">
        <f t="shared" si="11"/>
        <v>0.43124641289804733</v>
      </c>
    </row>
    <row r="45" spans="2:8" ht="17.399999999999999" x14ac:dyDescent="0.3">
      <c r="B45" s="64"/>
      <c r="C45" s="117" t="s">
        <v>101</v>
      </c>
      <c r="D45" s="117" t="s">
        <v>99</v>
      </c>
      <c r="E45" s="117" t="s">
        <v>100</v>
      </c>
    </row>
    <row r="46" spans="2:8" ht="43.2" x14ac:dyDescent="0.3">
      <c r="B46" s="20" t="s">
        <v>14</v>
      </c>
      <c r="C46" s="41">
        <f>D46-E46</f>
        <v>-0.12816846362287315</v>
      </c>
      <c r="D46" s="41">
        <f>SUM(C37,C38)/2</f>
        <v>0.27365055123964782</v>
      </c>
      <c r="E46" s="41">
        <f>SUM(C41,C40)/2</f>
        <v>0.40181901486252097</v>
      </c>
    </row>
    <row r="47" spans="2:8" ht="28.8" x14ac:dyDescent="0.3">
      <c r="B47" s="20" t="s">
        <v>15</v>
      </c>
      <c r="C47" s="41">
        <f>D47-E47</f>
        <v>-0.2004788306432049</v>
      </c>
      <c r="D47" s="41">
        <f>SUM(C39,C40)/2</f>
        <v>0.15408502069331789</v>
      </c>
      <c r="E47" s="41">
        <f>SUM(C42,C37)/2</f>
        <v>0.3545638513365228</v>
      </c>
    </row>
    <row r="48" spans="2:8" ht="28.8" x14ac:dyDescent="0.3">
      <c r="B48" s="20" t="s">
        <v>16</v>
      </c>
      <c r="C48" s="41">
        <f>D48-E48</f>
        <v>0.32864729426607808</v>
      </c>
      <c r="D48" s="41">
        <f>SUM(C41,C42)/2</f>
        <v>0.49368821398668944</v>
      </c>
      <c r="E48" s="41">
        <f>SUM(C39,C38)/2</f>
        <v>0.16504091972061138</v>
      </c>
    </row>
    <row r="51" spans="2:2" x14ac:dyDescent="0.3">
      <c r="B51" s="115"/>
    </row>
    <row r="52" spans="2:2" x14ac:dyDescent="0.3">
      <c r="B52" s="115"/>
    </row>
    <row r="53" spans="2:2" x14ac:dyDescent="0.3">
      <c r="B53" s="115"/>
    </row>
  </sheetData>
  <mergeCells count="1">
    <mergeCell ref="B3:C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426EF-2E27-4FA5-BC2D-1BD135283432}">
  <dimension ref="A1:W54"/>
  <sheetViews>
    <sheetView topLeftCell="A13" zoomScale="25" zoomScaleNormal="25" workbookViewId="0">
      <selection activeCell="I16" sqref="I16"/>
    </sheetView>
  </sheetViews>
  <sheetFormatPr defaultRowHeight="14.4" x14ac:dyDescent="0.3"/>
  <cols>
    <col min="1" max="1" width="16" customWidth="1"/>
    <col min="4" max="4" width="10.109375" bestFit="1" customWidth="1"/>
    <col min="7" max="7" width="11.33203125" bestFit="1" customWidth="1"/>
    <col min="8" max="8" width="11" customWidth="1"/>
    <col min="9" max="9" width="12.21875" customWidth="1"/>
  </cols>
  <sheetData>
    <row r="1" spans="1:9" x14ac:dyDescent="0.3">
      <c r="A1" s="129" t="s">
        <v>102</v>
      </c>
      <c r="B1" s="35"/>
      <c r="C1" s="37"/>
      <c r="D1" s="37"/>
      <c r="E1" s="37" t="s">
        <v>118</v>
      </c>
      <c r="F1" s="37"/>
      <c r="G1" s="38"/>
    </row>
    <row r="2" spans="1:9" x14ac:dyDescent="0.3">
      <c r="A2" s="130"/>
      <c r="B2" s="133" t="s">
        <v>104</v>
      </c>
      <c r="C2" s="127" t="s">
        <v>105</v>
      </c>
      <c r="D2" s="127" t="s">
        <v>106</v>
      </c>
      <c r="E2" s="127" t="s">
        <v>107</v>
      </c>
      <c r="F2" s="127" t="s">
        <v>108</v>
      </c>
      <c r="G2" s="128" t="s">
        <v>109</v>
      </c>
    </row>
    <row r="3" spans="1:9" ht="43.2" x14ac:dyDescent="0.3">
      <c r="A3" s="131" t="s">
        <v>14</v>
      </c>
      <c r="B3" s="83">
        <v>3</v>
      </c>
      <c r="C3" s="44">
        <v>3</v>
      </c>
      <c r="D3" s="44">
        <v>3</v>
      </c>
      <c r="E3" s="44">
        <v>3</v>
      </c>
      <c r="F3" s="44">
        <v>3</v>
      </c>
      <c r="G3" s="46">
        <v>2</v>
      </c>
    </row>
    <row r="4" spans="1:9" ht="43.2" x14ac:dyDescent="0.3">
      <c r="A4" s="131" t="s">
        <v>15</v>
      </c>
      <c r="B4" s="83">
        <v>2</v>
      </c>
      <c r="C4" s="44">
        <v>1</v>
      </c>
      <c r="D4" s="44">
        <v>2</v>
      </c>
      <c r="E4" s="44">
        <v>2</v>
      </c>
      <c r="F4" s="44">
        <v>2</v>
      </c>
      <c r="G4" s="46">
        <v>3</v>
      </c>
    </row>
    <row r="5" spans="1:9" ht="43.8" thickBot="1" x14ac:dyDescent="0.35">
      <c r="A5" s="132" t="s">
        <v>16</v>
      </c>
      <c r="B5" s="69">
        <v>1</v>
      </c>
      <c r="C5" s="47">
        <v>2</v>
      </c>
      <c r="D5" s="47">
        <v>1</v>
      </c>
      <c r="E5" s="47">
        <v>1</v>
      </c>
      <c r="F5" s="47">
        <v>1</v>
      </c>
      <c r="G5" s="48">
        <v>1</v>
      </c>
    </row>
    <row r="7" spans="1:9" ht="15" thickBot="1" x14ac:dyDescent="0.35">
      <c r="A7" s="134"/>
      <c r="B7" s="134"/>
      <c r="C7" s="134"/>
      <c r="D7" s="134"/>
      <c r="E7" s="135" t="s">
        <v>110</v>
      </c>
      <c r="F7" s="134"/>
      <c r="G7" s="134"/>
      <c r="H7" s="134"/>
      <c r="I7" s="134"/>
    </row>
    <row r="8" spans="1:9" x14ac:dyDescent="0.3">
      <c r="A8" s="129" t="str">
        <f>A1</f>
        <v>گزینه ها</v>
      </c>
      <c r="B8" s="35"/>
      <c r="C8" s="37"/>
      <c r="D8" s="37"/>
      <c r="E8" s="37" t="s">
        <v>103</v>
      </c>
      <c r="F8" s="37"/>
      <c r="G8" s="37"/>
      <c r="H8" s="45"/>
      <c r="I8" s="185" t="s">
        <v>113</v>
      </c>
    </row>
    <row r="9" spans="1:9" x14ac:dyDescent="0.3">
      <c r="A9" s="130">
        <f>A2</f>
        <v>0</v>
      </c>
      <c r="B9" s="133" t="str">
        <f t="shared" ref="B9:G12" si="0">B2</f>
        <v>AHP</v>
      </c>
      <c r="C9" s="127" t="str">
        <f t="shared" si="0"/>
        <v>ANP</v>
      </c>
      <c r="D9" s="127" t="str">
        <f t="shared" si="0"/>
        <v>Topsis-AHP</v>
      </c>
      <c r="E9" s="127" t="str">
        <f t="shared" si="0"/>
        <v>VIKOR</v>
      </c>
      <c r="F9" s="127" t="str">
        <f t="shared" si="0"/>
        <v>ELECTRE</v>
      </c>
      <c r="G9" s="141" t="str">
        <f t="shared" si="0"/>
        <v>PROMETHEE</v>
      </c>
      <c r="H9" s="83" t="s">
        <v>111</v>
      </c>
      <c r="I9" s="186"/>
    </row>
    <row r="10" spans="1:9" ht="43.2" x14ac:dyDescent="0.3">
      <c r="A10" s="131" t="str">
        <f>A3</f>
        <v>2024 Ford Mustang GT fastback</v>
      </c>
      <c r="B10" s="87">
        <f t="shared" si="0"/>
        <v>3</v>
      </c>
      <c r="C10" s="88">
        <f t="shared" si="0"/>
        <v>3</v>
      </c>
      <c r="D10" s="88">
        <f t="shared" si="0"/>
        <v>3</v>
      </c>
      <c r="E10" s="88">
        <f t="shared" si="0"/>
        <v>3</v>
      </c>
      <c r="F10" s="88">
        <f t="shared" si="0"/>
        <v>3</v>
      </c>
      <c r="G10" s="142">
        <f t="shared" si="0"/>
        <v>2</v>
      </c>
      <c r="H10" s="87">
        <f t="shared" ref="H10:H11" si="1">AVERAGE(B10:G10)</f>
        <v>2.8333333333333335</v>
      </c>
      <c r="I10" s="100">
        <f>RANK(H10,H10:H12,1)</f>
        <v>3</v>
      </c>
    </row>
    <row r="11" spans="1:9" ht="43.2" x14ac:dyDescent="0.3">
      <c r="A11" s="131" t="str">
        <f>A4</f>
        <v>2024 Nissan Z Nismo</v>
      </c>
      <c r="B11" s="87">
        <f t="shared" si="0"/>
        <v>2</v>
      </c>
      <c r="C11" s="88">
        <f t="shared" si="0"/>
        <v>1</v>
      </c>
      <c r="D11" s="88">
        <f t="shared" si="0"/>
        <v>2</v>
      </c>
      <c r="E11" s="88">
        <f t="shared" si="0"/>
        <v>2</v>
      </c>
      <c r="F11" s="88">
        <f t="shared" si="0"/>
        <v>2</v>
      </c>
      <c r="G11" s="142">
        <f t="shared" si="0"/>
        <v>3</v>
      </c>
      <c r="H11" s="87">
        <f t="shared" si="1"/>
        <v>2</v>
      </c>
      <c r="I11" s="100">
        <f t="shared" ref="I11:I12" si="2">RANK(H11,H11:H13,1)</f>
        <v>2</v>
      </c>
    </row>
    <row r="12" spans="1:9" ht="43.8" thickBot="1" x14ac:dyDescent="0.35">
      <c r="A12" s="132" t="str">
        <f>A5</f>
        <v>2025 Cadillac CT5 v</v>
      </c>
      <c r="B12" s="101">
        <f t="shared" si="0"/>
        <v>1</v>
      </c>
      <c r="C12" s="102">
        <f t="shared" si="0"/>
        <v>2</v>
      </c>
      <c r="D12" s="102">
        <f t="shared" si="0"/>
        <v>1</v>
      </c>
      <c r="E12" s="102">
        <f t="shared" si="0"/>
        <v>1</v>
      </c>
      <c r="F12" s="102">
        <f t="shared" si="0"/>
        <v>1</v>
      </c>
      <c r="G12" s="143">
        <f t="shared" si="0"/>
        <v>1</v>
      </c>
      <c r="H12" s="101">
        <f>AVERAGE(B12:G12)</f>
        <v>1.1666666666666667</v>
      </c>
      <c r="I12" s="103">
        <f t="shared" si="2"/>
        <v>1</v>
      </c>
    </row>
    <row r="14" spans="1:9" x14ac:dyDescent="0.3">
      <c r="A14" s="134"/>
      <c r="B14" s="134"/>
      <c r="C14" s="134"/>
      <c r="D14" s="140" t="s">
        <v>114</v>
      </c>
      <c r="E14" s="135"/>
      <c r="F14" s="134"/>
    </row>
    <row r="15" spans="1:9" ht="72.599999999999994" thickBot="1" x14ac:dyDescent="0.35">
      <c r="B15" s="138" t="s">
        <v>14</v>
      </c>
      <c r="C15" s="138" t="s">
        <v>15</v>
      </c>
      <c r="D15" s="138" t="s">
        <v>16</v>
      </c>
      <c r="E15" s="139" t="s">
        <v>51</v>
      </c>
      <c r="F15" s="139" t="s">
        <v>112</v>
      </c>
    </row>
    <row r="16" spans="1:9" ht="43.2" x14ac:dyDescent="0.3">
      <c r="A16" s="136" t="s">
        <v>14</v>
      </c>
      <c r="B16" s="97">
        <v>0</v>
      </c>
      <c r="C16" s="98">
        <v>0</v>
      </c>
      <c r="D16" s="99">
        <v>0</v>
      </c>
      <c r="E16" s="144">
        <f>SUM(B16:D16)</f>
        <v>0</v>
      </c>
      <c r="F16" s="99">
        <f>RANK(E16,E16:E18,0)</f>
        <v>3</v>
      </c>
    </row>
    <row r="17" spans="1:23" ht="28.8" x14ac:dyDescent="0.3">
      <c r="A17" s="136" t="s">
        <v>15</v>
      </c>
      <c r="B17" s="87">
        <v>1</v>
      </c>
      <c r="C17" s="88">
        <v>0</v>
      </c>
      <c r="D17" s="100">
        <v>0</v>
      </c>
      <c r="E17" s="145">
        <f t="shared" ref="E17:E18" si="3">SUM(B17:D17)</f>
        <v>1</v>
      </c>
      <c r="F17" s="100">
        <f t="shared" ref="F17:F18" si="4">RANK(E17,E17:E19,0)</f>
        <v>2</v>
      </c>
    </row>
    <row r="18" spans="1:23" ht="29.4" thickBot="1" x14ac:dyDescent="0.35">
      <c r="A18" s="137" t="s">
        <v>16</v>
      </c>
      <c r="B18" s="101">
        <v>1</v>
      </c>
      <c r="C18" s="102">
        <v>1</v>
      </c>
      <c r="D18" s="103">
        <v>0</v>
      </c>
      <c r="E18" s="146">
        <f t="shared" si="3"/>
        <v>2</v>
      </c>
      <c r="F18" s="103">
        <f t="shared" si="4"/>
        <v>1</v>
      </c>
    </row>
    <row r="20" spans="1:23" x14ac:dyDescent="0.3">
      <c r="A20" s="134"/>
      <c r="B20" s="134"/>
      <c r="C20" s="134"/>
      <c r="D20" s="140" t="s">
        <v>115</v>
      </c>
      <c r="E20" s="135"/>
      <c r="F20" s="134"/>
      <c r="G20" s="134"/>
    </row>
    <row r="21" spans="1:23" ht="72.599999999999994" thickBot="1" x14ac:dyDescent="0.35">
      <c r="B21" s="138" t="s">
        <v>14</v>
      </c>
      <c r="C21" s="138" t="s">
        <v>15</v>
      </c>
      <c r="D21" s="138" t="s">
        <v>16</v>
      </c>
      <c r="E21" s="139" t="s">
        <v>51</v>
      </c>
      <c r="F21" s="139" t="s">
        <v>116</v>
      </c>
      <c r="G21" s="139" t="s">
        <v>112</v>
      </c>
    </row>
    <row r="22" spans="1:23" ht="43.2" x14ac:dyDescent="0.3">
      <c r="A22" s="136" t="s">
        <v>14</v>
      </c>
      <c r="B22" s="97">
        <v>0</v>
      </c>
      <c r="C22" s="98">
        <v>0</v>
      </c>
      <c r="D22" s="150">
        <v>0</v>
      </c>
      <c r="E22" s="97">
        <f>SUM(B22:D22)</f>
        <v>0</v>
      </c>
      <c r="F22" s="60">
        <f>-E22-B25</f>
        <v>-2</v>
      </c>
      <c r="G22" s="99">
        <f>RANK(F22,F22:F24,0)</f>
        <v>3</v>
      </c>
    </row>
    <row r="23" spans="1:23" ht="28.8" x14ac:dyDescent="0.3">
      <c r="A23" s="136" t="s">
        <v>15</v>
      </c>
      <c r="B23" s="87">
        <v>1</v>
      </c>
      <c r="C23" s="88">
        <v>0</v>
      </c>
      <c r="D23" s="142">
        <v>0</v>
      </c>
      <c r="E23" s="87">
        <f t="shared" ref="E23:E24" si="5">SUM(B23:D23)</f>
        <v>1</v>
      </c>
      <c r="F23" s="44">
        <f>E23-C25</f>
        <v>0</v>
      </c>
      <c r="G23" s="100">
        <f t="shared" ref="G23:G24" si="6">RANK(F23,F23:F25,0)</f>
        <v>2</v>
      </c>
    </row>
    <row r="24" spans="1:23" ht="29.4" thickBot="1" x14ac:dyDescent="0.35">
      <c r="A24" s="137" t="s">
        <v>16</v>
      </c>
      <c r="B24" s="101">
        <v>1</v>
      </c>
      <c r="C24" s="102">
        <v>1</v>
      </c>
      <c r="D24" s="143">
        <v>0</v>
      </c>
      <c r="E24" s="101">
        <f t="shared" si="5"/>
        <v>2</v>
      </c>
      <c r="F24" s="47">
        <f>E24-D25</f>
        <v>2</v>
      </c>
      <c r="G24" s="103">
        <f t="shared" si="6"/>
        <v>1</v>
      </c>
    </row>
    <row r="25" spans="1:23" ht="15" thickBot="1" x14ac:dyDescent="0.35">
      <c r="A25" s="147" t="s">
        <v>117</v>
      </c>
      <c r="B25" s="148">
        <v>2</v>
      </c>
      <c r="C25" s="148">
        <v>1</v>
      </c>
      <c r="D25" s="149">
        <v>0</v>
      </c>
    </row>
    <row r="26" spans="1:23" ht="15" thickBot="1" x14ac:dyDescent="0.35"/>
    <row r="27" spans="1:23" ht="18.600000000000001" thickBot="1" x14ac:dyDescent="0.4">
      <c r="A27" s="167"/>
      <c r="B27" s="168"/>
      <c r="C27" s="168"/>
      <c r="D27" s="169"/>
      <c r="E27" s="170"/>
      <c r="F27" s="168"/>
      <c r="G27" s="168"/>
      <c r="H27" s="168"/>
      <c r="I27" s="168"/>
      <c r="J27" s="168"/>
      <c r="K27" s="168" t="s">
        <v>120</v>
      </c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71"/>
    </row>
    <row r="28" spans="1:23" x14ac:dyDescent="0.3">
      <c r="A28" s="35"/>
      <c r="B28" s="37"/>
      <c r="C28" s="37"/>
      <c r="D28" s="37" t="s">
        <v>121</v>
      </c>
      <c r="E28" s="37"/>
      <c r="F28" s="37"/>
      <c r="G28" s="38"/>
      <c r="I28" s="35"/>
      <c r="J28" s="37"/>
      <c r="K28" s="37"/>
      <c r="L28" s="37" t="s">
        <v>129</v>
      </c>
      <c r="M28" s="37"/>
      <c r="N28" s="37"/>
      <c r="O28" s="38"/>
      <c r="W28" s="55"/>
    </row>
    <row r="29" spans="1:23" x14ac:dyDescent="0.3">
      <c r="A29" s="130"/>
      <c r="B29" s="133" t="s">
        <v>104</v>
      </c>
      <c r="C29" s="127" t="s">
        <v>105</v>
      </c>
      <c r="D29" s="127" t="s">
        <v>106</v>
      </c>
      <c r="E29" s="127" t="s">
        <v>107</v>
      </c>
      <c r="F29" s="127" t="s">
        <v>108</v>
      </c>
      <c r="G29" s="128" t="s">
        <v>109</v>
      </c>
      <c r="I29" s="130"/>
      <c r="J29" s="133" t="s">
        <v>104</v>
      </c>
      <c r="K29" s="127" t="s">
        <v>105</v>
      </c>
      <c r="L29" s="127" t="s">
        <v>106</v>
      </c>
      <c r="M29" s="127" t="s">
        <v>107</v>
      </c>
      <c r="N29" s="127" t="s">
        <v>108</v>
      </c>
      <c r="O29" s="128" t="s">
        <v>109</v>
      </c>
      <c r="W29" s="55"/>
    </row>
    <row r="30" spans="1:23" ht="43.2" x14ac:dyDescent="0.3">
      <c r="A30" s="131" t="s">
        <v>14</v>
      </c>
      <c r="B30" s="83">
        <v>3</v>
      </c>
      <c r="C30" s="44">
        <v>3</v>
      </c>
      <c r="D30" s="44">
        <v>3</v>
      </c>
      <c r="E30" s="44">
        <v>3</v>
      </c>
      <c r="F30" s="44">
        <v>3</v>
      </c>
      <c r="G30" s="46">
        <v>2</v>
      </c>
      <c r="I30" s="131" t="s">
        <v>130</v>
      </c>
      <c r="J30" s="83">
        <v>3</v>
      </c>
      <c r="K30" s="44">
        <v>3</v>
      </c>
      <c r="L30" s="44">
        <v>3</v>
      </c>
      <c r="M30" s="44">
        <v>3</v>
      </c>
      <c r="N30" s="44">
        <v>3</v>
      </c>
      <c r="O30" s="46">
        <v>2</v>
      </c>
      <c r="W30" s="55"/>
    </row>
    <row r="31" spans="1:23" ht="28.8" x14ac:dyDescent="0.3">
      <c r="A31" s="131" t="s">
        <v>15</v>
      </c>
      <c r="B31" s="83">
        <v>2</v>
      </c>
      <c r="C31" s="44">
        <v>1</v>
      </c>
      <c r="D31" s="44">
        <v>2</v>
      </c>
      <c r="E31" s="44">
        <v>2</v>
      </c>
      <c r="F31" s="44">
        <v>2</v>
      </c>
      <c r="G31" s="46">
        <v>3</v>
      </c>
      <c r="I31" s="131" t="s">
        <v>15</v>
      </c>
      <c r="J31" s="83">
        <v>2</v>
      </c>
      <c r="K31" s="44">
        <v>1</v>
      </c>
      <c r="L31" s="44">
        <v>2</v>
      </c>
      <c r="M31" s="44">
        <v>2</v>
      </c>
      <c r="N31" s="44">
        <v>2</v>
      </c>
      <c r="O31" s="46">
        <v>3</v>
      </c>
      <c r="W31" s="55"/>
    </row>
    <row r="32" spans="1:23" ht="29.4" thickBot="1" x14ac:dyDescent="0.35">
      <c r="A32" s="132" t="s">
        <v>16</v>
      </c>
      <c r="B32" s="69">
        <v>1</v>
      </c>
      <c r="C32" s="47">
        <v>2</v>
      </c>
      <c r="D32" s="47">
        <v>1</v>
      </c>
      <c r="E32" s="47">
        <v>1</v>
      </c>
      <c r="F32" s="47">
        <v>1</v>
      </c>
      <c r="G32" s="48">
        <v>1</v>
      </c>
      <c r="I32" s="132" t="s">
        <v>16</v>
      </c>
      <c r="J32" s="69">
        <v>1</v>
      </c>
      <c r="K32" s="47">
        <v>2</v>
      </c>
      <c r="L32" s="47">
        <v>1</v>
      </c>
      <c r="M32" s="47">
        <v>1</v>
      </c>
      <c r="N32" s="47">
        <v>1</v>
      </c>
      <c r="O32" s="48">
        <v>1</v>
      </c>
      <c r="W32" s="55"/>
    </row>
    <row r="33" spans="1:23" ht="16.2" thickBot="1" x14ac:dyDescent="0.35">
      <c r="A33" s="151" t="s">
        <v>119</v>
      </c>
      <c r="B33" s="56">
        <f>1/6</f>
        <v>0.16666666666666666</v>
      </c>
      <c r="C33" s="56">
        <f t="shared" ref="C33:G33" si="7">1/6</f>
        <v>0.16666666666666666</v>
      </c>
      <c r="D33" s="56">
        <f t="shared" si="7"/>
        <v>0.16666666666666666</v>
      </c>
      <c r="E33" s="56">
        <f t="shared" si="7"/>
        <v>0.16666666666666666</v>
      </c>
      <c r="F33" s="56">
        <f t="shared" si="7"/>
        <v>0.16666666666666666</v>
      </c>
      <c r="G33" s="57">
        <f t="shared" si="7"/>
        <v>0.16666666666666666</v>
      </c>
      <c r="W33" s="55"/>
    </row>
    <row r="34" spans="1:23" ht="15" thickBot="1" x14ac:dyDescent="0.35">
      <c r="A34" s="67"/>
      <c r="W34" s="55"/>
    </row>
    <row r="35" spans="1:23" x14ac:dyDescent="0.3">
      <c r="A35" s="35"/>
      <c r="B35" s="37"/>
      <c r="C35" s="37"/>
      <c r="D35" s="37" t="s">
        <v>127</v>
      </c>
      <c r="E35" s="37"/>
      <c r="F35" s="37"/>
      <c r="G35" s="38"/>
      <c r="H35" s="152" t="s">
        <v>128</v>
      </c>
      <c r="W35" s="55"/>
    </row>
    <row r="36" spans="1:23" ht="16.2" customHeight="1" x14ac:dyDescent="0.3">
      <c r="A36" s="174" t="s">
        <v>139</v>
      </c>
      <c r="B36" s="41" t="s">
        <v>109</v>
      </c>
      <c r="C36" s="41"/>
      <c r="D36" s="41"/>
      <c r="E36" s="41"/>
      <c r="F36" s="41"/>
      <c r="G36" s="11"/>
      <c r="H36" s="164">
        <f>G33</f>
        <v>0.16666666666666666</v>
      </c>
      <c r="W36" s="55"/>
    </row>
    <row r="37" spans="1:23" ht="16.2" customHeight="1" x14ac:dyDescent="0.3">
      <c r="A37" s="175" t="s">
        <v>122</v>
      </c>
      <c r="B37" s="41"/>
      <c r="C37" s="41"/>
      <c r="D37" s="41"/>
      <c r="E37" s="41"/>
      <c r="F37" s="41"/>
      <c r="G37" s="11"/>
      <c r="H37" s="164">
        <v>0</v>
      </c>
      <c r="W37" s="55"/>
    </row>
    <row r="38" spans="1:23" ht="16.2" customHeight="1" x14ac:dyDescent="0.3">
      <c r="A38" s="175" t="s">
        <v>123</v>
      </c>
      <c r="B38" s="41" t="s">
        <v>104</v>
      </c>
      <c r="C38" s="41" t="s">
        <v>105</v>
      </c>
      <c r="D38" s="41" t="s">
        <v>106</v>
      </c>
      <c r="E38" s="41" t="s">
        <v>107</v>
      </c>
      <c r="F38" s="41" t="s">
        <v>108</v>
      </c>
      <c r="G38" s="11"/>
      <c r="H38" s="164">
        <f>SUM(B33:F33)</f>
        <v>0.83333333333333326</v>
      </c>
      <c r="W38" s="55"/>
    </row>
    <row r="39" spans="1:23" ht="16.2" customHeight="1" x14ac:dyDescent="0.3">
      <c r="A39" s="175" t="s">
        <v>124</v>
      </c>
      <c r="B39" s="41" t="s">
        <v>105</v>
      </c>
      <c r="C39" s="41"/>
      <c r="D39" s="41"/>
      <c r="E39" s="41"/>
      <c r="F39" s="41"/>
      <c r="G39" s="11"/>
      <c r="H39" s="164">
        <f>C33</f>
        <v>0.16666666666666666</v>
      </c>
      <c r="W39" s="55"/>
    </row>
    <row r="40" spans="1:23" ht="16.2" customHeight="1" x14ac:dyDescent="0.3">
      <c r="A40" s="175" t="s">
        <v>125</v>
      </c>
      <c r="B40" s="41" t="s">
        <v>104</v>
      </c>
      <c r="C40" s="41" t="s">
        <v>105</v>
      </c>
      <c r="D40" s="41" t="s">
        <v>106</v>
      </c>
      <c r="E40" s="41" t="s">
        <v>107</v>
      </c>
      <c r="F40" s="41" t="s">
        <v>108</v>
      </c>
      <c r="G40" s="11" t="s">
        <v>109</v>
      </c>
      <c r="H40" s="164">
        <f>SUM(B33:G33)</f>
        <v>0.99999999999999989</v>
      </c>
      <c r="W40" s="55"/>
    </row>
    <row r="41" spans="1:23" ht="16.2" customHeight="1" thickBot="1" x14ac:dyDescent="0.35">
      <c r="A41" s="176" t="s">
        <v>126</v>
      </c>
      <c r="B41" s="43" t="s">
        <v>104</v>
      </c>
      <c r="C41" s="43" t="s">
        <v>106</v>
      </c>
      <c r="D41" s="43" t="s">
        <v>107</v>
      </c>
      <c r="E41" s="43" t="s">
        <v>108</v>
      </c>
      <c r="F41" s="43" t="s">
        <v>109</v>
      </c>
      <c r="G41" s="14"/>
      <c r="H41" s="173">
        <f>B33+SUM(D33:G33)</f>
        <v>0.83333333333333326</v>
      </c>
      <c r="W41" s="55"/>
    </row>
    <row r="42" spans="1:23" ht="15" thickBot="1" x14ac:dyDescent="0.35">
      <c r="A42" s="67"/>
      <c r="W42" s="55"/>
    </row>
    <row r="43" spans="1:23" ht="15" thickBot="1" x14ac:dyDescent="0.35">
      <c r="A43" s="156"/>
      <c r="B43" s="157"/>
      <c r="C43" s="157" t="s">
        <v>137</v>
      </c>
      <c r="D43" s="157"/>
      <c r="E43" s="157"/>
      <c r="F43" s="157"/>
      <c r="G43" s="158"/>
      <c r="H43" s="159" t="s">
        <v>138</v>
      </c>
      <c r="W43" s="55"/>
    </row>
    <row r="44" spans="1:23" ht="15" thickBot="1" x14ac:dyDescent="0.35">
      <c r="A44" s="49"/>
      <c r="B44" s="50" t="s">
        <v>104</v>
      </c>
      <c r="C44" s="50" t="s">
        <v>105</v>
      </c>
      <c r="D44" s="50" t="s">
        <v>106</v>
      </c>
      <c r="E44" s="50" t="s">
        <v>107</v>
      </c>
      <c r="F44" s="50" t="s">
        <v>108</v>
      </c>
      <c r="G44" s="9" t="s">
        <v>109</v>
      </c>
      <c r="H44" s="162"/>
      <c r="W44" s="55"/>
    </row>
    <row r="45" spans="1:23" x14ac:dyDescent="0.3">
      <c r="A45" s="153" t="s">
        <v>131</v>
      </c>
      <c r="B45" s="41">
        <v>-1</v>
      </c>
      <c r="C45" s="41">
        <v>-1</v>
      </c>
      <c r="D45" s="41">
        <v>-1</v>
      </c>
      <c r="E45" s="41">
        <v>-1</v>
      </c>
      <c r="F45" s="41">
        <v>-1</v>
      </c>
      <c r="G45" s="160">
        <v>1</v>
      </c>
      <c r="H45" s="163">
        <f>SUMPRODUCT(B45:G45,$B$33:$G$33)</f>
        <v>-0.66666666666666663</v>
      </c>
      <c r="W45" s="55"/>
    </row>
    <row r="46" spans="1:23" x14ac:dyDescent="0.3">
      <c r="A46" s="154" t="s">
        <v>132</v>
      </c>
      <c r="B46" s="41">
        <v>-1</v>
      </c>
      <c r="C46" s="41">
        <v>-1</v>
      </c>
      <c r="D46" s="41">
        <v>-1</v>
      </c>
      <c r="E46" s="41">
        <v>-1</v>
      </c>
      <c r="F46" s="41">
        <v>-1</v>
      </c>
      <c r="G46" s="160">
        <v>-1</v>
      </c>
      <c r="H46" s="164">
        <f t="shared" ref="H46:H50" si="8">SUMPRODUCT(B46:G46,$B$33:$G$33)</f>
        <v>-0.99999999999999989</v>
      </c>
      <c r="W46" s="55"/>
    </row>
    <row r="47" spans="1:23" x14ac:dyDescent="0.3">
      <c r="A47" s="154" t="s">
        <v>133</v>
      </c>
      <c r="B47" s="41">
        <v>1</v>
      </c>
      <c r="C47" s="41">
        <v>1</v>
      </c>
      <c r="D47" s="41">
        <v>1</v>
      </c>
      <c r="E47" s="41">
        <v>1</v>
      </c>
      <c r="F47" s="41">
        <v>1</v>
      </c>
      <c r="G47" s="160">
        <v>-1</v>
      </c>
      <c r="H47" s="165">
        <f t="shared" si="8"/>
        <v>0.66666666666666663</v>
      </c>
      <c r="W47" s="55"/>
    </row>
    <row r="48" spans="1:23" x14ac:dyDescent="0.3">
      <c r="A48" s="154" t="s">
        <v>134</v>
      </c>
      <c r="B48" s="41">
        <v>-1</v>
      </c>
      <c r="C48" s="41">
        <v>1</v>
      </c>
      <c r="D48" s="41">
        <v>-1</v>
      </c>
      <c r="E48" s="41">
        <v>-1</v>
      </c>
      <c r="F48" s="41">
        <v>-1</v>
      </c>
      <c r="G48" s="160">
        <v>-1</v>
      </c>
      <c r="H48" s="164">
        <f t="shared" si="8"/>
        <v>-0.66666666666666663</v>
      </c>
      <c r="W48" s="55"/>
    </row>
    <row r="49" spans="1:23" x14ac:dyDescent="0.3">
      <c r="A49" s="154" t="s">
        <v>135</v>
      </c>
      <c r="B49" s="41">
        <v>1</v>
      </c>
      <c r="C49" s="41">
        <v>1</v>
      </c>
      <c r="D49" s="41">
        <v>1</v>
      </c>
      <c r="E49" s="41">
        <v>1</v>
      </c>
      <c r="F49" s="41">
        <v>1</v>
      </c>
      <c r="G49" s="160">
        <v>1</v>
      </c>
      <c r="H49" s="165">
        <f t="shared" si="8"/>
        <v>0.99999999999999989</v>
      </c>
      <c r="W49" s="55"/>
    </row>
    <row r="50" spans="1:23" ht="15" thickBot="1" x14ac:dyDescent="0.35">
      <c r="A50" s="155" t="s">
        <v>136</v>
      </c>
      <c r="B50" s="43">
        <v>1</v>
      </c>
      <c r="C50" s="43">
        <v>-1</v>
      </c>
      <c r="D50" s="43">
        <v>1</v>
      </c>
      <c r="E50" s="43">
        <v>1</v>
      </c>
      <c r="F50" s="43">
        <v>1</v>
      </c>
      <c r="G50" s="161">
        <v>1</v>
      </c>
      <c r="H50" s="166">
        <f t="shared" si="8"/>
        <v>0.66666666666666663</v>
      </c>
      <c r="W50" s="55"/>
    </row>
    <row r="51" spans="1:23" x14ac:dyDescent="0.3">
      <c r="A51" s="67"/>
      <c r="W51" s="55"/>
    </row>
    <row r="52" spans="1:23" x14ac:dyDescent="0.3">
      <c r="A52" s="67"/>
      <c r="W52" s="55"/>
    </row>
    <row r="53" spans="1:23" x14ac:dyDescent="0.3">
      <c r="A53" s="67"/>
      <c r="W53" s="55"/>
    </row>
    <row r="54" spans="1:23" ht="15" thickBot="1" x14ac:dyDescent="0.35">
      <c r="A54" s="68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7"/>
    </row>
  </sheetData>
  <mergeCells count="1">
    <mergeCell ref="I8:I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Topsis-AHP</vt:lpstr>
      <vt:lpstr>VIKOR</vt:lpstr>
      <vt:lpstr>ELECTRE</vt:lpstr>
      <vt:lpstr>PROMETHEE</vt:lpstr>
      <vt:lpstr>Question5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Eskandari</dc:creator>
  <cp:lastModifiedBy>Reza Eskandari</cp:lastModifiedBy>
  <dcterms:created xsi:type="dcterms:W3CDTF">2025-05-30T08:30:35Z</dcterms:created>
  <dcterms:modified xsi:type="dcterms:W3CDTF">2026-09-05T21:02:25Z</dcterms:modified>
</cp:coreProperties>
</file>
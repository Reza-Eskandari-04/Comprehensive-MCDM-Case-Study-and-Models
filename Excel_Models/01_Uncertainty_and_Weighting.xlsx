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term6\DM\Git\"/>
    </mc:Choice>
  </mc:AlternateContent>
  <xr:revisionPtr revIDLastSave="0" documentId="13_ncr:1_{BA5E1944-B03A-4BBF-8A7D-5C1E2A27EF7F}" xr6:coauthVersionLast="47" xr6:coauthVersionMax="47" xr10:uidLastSave="{00000000-0000-0000-0000-000000000000}"/>
  <bookViews>
    <workbookView xWindow="-108" yWindow="-108" windowWidth="23256" windowHeight="12456" xr2:uid="{E76D48F8-946B-4D28-A4D0-7B23CF43E0C9}"/>
  </bookViews>
  <sheets>
    <sheet name="سوال1" sheetId="1" r:id="rId1"/>
    <sheet name="سوال2" sheetId="2" r:id="rId2"/>
    <sheet name="سوال3" sheetId="3" r:id="rId3"/>
  </sheets>
  <definedNames>
    <definedName name="solver_adj" localSheetId="2" hidden="1">سوال3!$X$33:$X$43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سوال3!$X$45:$X$50</definedName>
    <definedName name="solver_lhs2" localSheetId="2" hidden="1">سوال3!$X$51:$X$61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سوال3!$Z$45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3</definedName>
    <definedName name="solver_rhs1" localSheetId="2" hidden="1">1</definedName>
    <definedName name="solver_rhs2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8" i="3" l="1" a="1"/>
  <c r="A38" i="3" s="1"/>
  <c r="X58" i="3"/>
  <c r="X59" i="3"/>
  <c r="X60" i="3"/>
  <c r="X61" i="3"/>
  <c r="X57" i="3"/>
  <c r="X54" i="3"/>
  <c r="X55" i="3"/>
  <c r="X56" i="3"/>
  <c r="X51" i="3"/>
  <c r="X50" i="3"/>
  <c r="X49" i="3"/>
  <c r="X48" i="3"/>
  <c r="X47" i="3"/>
  <c r="X46" i="3"/>
  <c r="X45" i="3"/>
  <c r="Z45" i="3"/>
  <c r="Z33" i="3"/>
  <c r="X53" i="3" s="1"/>
  <c r="AD23" i="3" a="1"/>
  <c r="AD23" i="3" s="1"/>
  <c r="AE23" i="3"/>
  <c r="AF23" i="3"/>
  <c r="AG23" i="3"/>
  <c r="AH23" i="3"/>
  <c r="AI23" i="3"/>
  <c r="AD24" i="3"/>
  <c r="AE24" i="3"/>
  <c r="AF24" i="3"/>
  <c r="AG24" i="3"/>
  <c r="AH24" i="3"/>
  <c r="AI24" i="3"/>
  <c r="AE25" i="3"/>
  <c r="AF25" i="3"/>
  <c r="AG25" i="3"/>
  <c r="AH25" i="3"/>
  <c r="AI25" i="3"/>
  <c r="AD26" i="3"/>
  <c r="AE26" i="3"/>
  <c r="AF26" i="3"/>
  <c r="AG26" i="3"/>
  <c r="AH26" i="3"/>
  <c r="AI26" i="3"/>
  <c r="AE27" i="3"/>
  <c r="AF27" i="3"/>
  <c r="AG27" i="3"/>
  <c r="AH27" i="3"/>
  <c r="AI27" i="3"/>
  <c r="W23" i="3"/>
  <c r="X23" i="3"/>
  <c r="Y23" i="3"/>
  <c r="Z23" i="3"/>
  <c r="AA23" i="3"/>
  <c r="AB23" i="3"/>
  <c r="W24" i="3"/>
  <c r="X24" i="3"/>
  <c r="Y24" i="3"/>
  <c r="Z24" i="3"/>
  <c r="AA24" i="3"/>
  <c r="AB24" i="3"/>
  <c r="W25" i="3"/>
  <c r="X25" i="3"/>
  <c r="Y25" i="3"/>
  <c r="Z25" i="3"/>
  <c r="AA25" i="3"/>
  <c r="AB25" i="3"/>
  <c r="W26" i="3"/>
  <c r="X26" i="3"/>
  <c r="Y26" i="3"/>
  <c r="Z26" i="3"/>
  <c r="AA26" i="3"/>
  <c r="AB26" i="3"/>
  <c r="W27" i="3"/>
  <c r="X27" i="3"/>
  <c r="Y27" i="3"/>
  <c r="Z27" i="3"/>
  <c r="AA27" i="3"/>
  <c r="AB27" i="3"/>
  <c r="W28" i="3"/>
  <c r="X28" i="3"/>
  <c r="Y28" i="3"/>
  <c r="Z28" i="3"/>
  <c r="AA28" i="3"/>
  <c r="AB28" i="3"/>
  <c r="W29" i="3"/>
  <c r="X29" i="3"/>
  <c r="Y29" i="3"/>
  <c r="Z29" i="3"/>
  <c r="AA29" i="3"/>
  <c r="AB29" i="3"/>
  <c r="A39" i="3"/>
  <c r="B39" i="3"/>
  <c r="C39" i="3"/>
  <c r="D39" i="3"/>
  <c r="E39" i="3"/>
  <c r="A37" i="3" a="1"/>
  <c r="B37" i="3" s="1"/>
  <c r="A36" i="3"/>
  <c r="B36" i="3"/>
  <c r="C36" i="3"/>
  <c r="D36" i="3"/>
  <c r="E36" i="3"/>
  <c r="A35" i="3"/>
  <c r="B35" i="3"/>
  <c r="C35" i="3"/>
  <c r="D35" i="3"/>
  <c r="E35" i="3"/>
  <c r="A34" i="3"/>
  <c r="B34" i="3"/>
  <c r="C34" i="3"/>
  <c r="D34" i="3"/>
  <c r="E34" i="3"/>
  <c r="Z7" i="1"/>
  <c r="AA7" i="1"/>
  <c r="AB7" i="1"/>
  <c r="AB16" i="1" s="1"/>
  <c r="Z8" i="1"/>
  <c r="AA8" i="1"/>
  <c r="AA26" i="1" s="1"/>
  <c r="AB8" i="1"/>
  <c r="AN17" i="1" s="1"/>
  <c r="AA6" i="1"/>
  <c r="AB6" i="1"/>
  <c r="AB15" i="1" s="1"/>
  <c r="Z6" i="1"/>
  <c r="Z15" i="1" s="1"/>
  <c r="Z4" i="1"/>
  <c r="AA4" i="1"/>
  <c r="AB4" i="1"/>
  <c r="AB22" i="1" s="1"/>
  <c r="Z5" i="1"/>
  <c r="AC32" i="1" s="1"/>
  <c r="AA5" i="1"/>
  <c r="AM14" i="1" s="1"/>
  <c r="AB5" i="1"/>
  <c r="AB41" i="1" s="1"/>
  <c r="AG41" i="1" s="1"/>
  <c r="AA3" i="1"/>
  <c r="AA39" i="1" s="1"/>
  <c r="AF39" i="1" s="1"/>
  <c r="AB3" i="1"/>
  <c r="Z3" i="1"/>
  <c r="Z39" i="1" s="1"/>
  <c r="AE39" i="1" s="1"/>
  <c r="AC54" i="1"/>
  <c r="AC53" i="1"/>
  <c r="AB53" i="1"/>
  <c r="AA53" i="1"/>
  <c r="Z53" i="1"/>
  <c r="AD53" i="1" s="1"/>
  <c r="AC52" i="1"/>
  <c r="AC51" i="1"/>
  <c r="AA51" i="1"/>
  <c r="Z51" i="1"/>
  <c r="AC50" i="1"/>
  <c r="AB50" i="1"/>
  <c r="AA50" i="1"/>
  <c r="AC49" i="1"/>
  <c r="AC48" i="1"/>
  <c r="AC47" i="1"/>
  <c r="AB47" i="1"/>
  <c r="AA47" i="1"/>
  <c r="Z47" i="1"/>
  <c r="AH44" i="1"/>
  <c r="AC44" i="1"/>
  <c r="Z44" i="1"/>
  <c r="AE44" i="1" s="1"/>
  <c r="AH43" i="1"/>
  <c r="AC43" i="1"/>
  <c r="AH42" i="1"/>
  <c r="AC42" i="1"/>
  <c r="AB42" i="1"/>
  <c r="AG42" i="1" s="1"/>
  <c r="AH41" i="1"/>
  <c r="AC41" i="1"/>
  <c r="AA41" i="1"/>
  <c r="AF41" i="1" s="1"/>
  <c r="Z41" i="1"/>
  <c r="AE41" i="1" s="1"/>
  <c r="AH40" i="1"/>
  <c r="AC40" i="1"/>
  <c r="AH39" i="1"/>
  <c r="AC39" i="1"/>
  <c r="AB39" i="1"/>
  <c r="AG39" i="1" s="1"/>
  <c r="AH38" i="1"/>
  <c r="AC38" i="1"/>
  <c r="AH37" i="1"/>
  <c r="AG37" i="1"/>
  <c r="AF37" i="1"/>
  <c r="AE37" i="1"/>
  <c r="AC37" i="1"/>
  <c r="AB37" i="1"/>
  <c r="AA37" i="1"/>
  <c r="Z37" i="1"/>
  <c r="AC35" i="1"/>
  <c r="AB35" i="1"/>
  <c r="AB34" i="1"/>
  <c r="AH26" i="1"/>
  <c r="AG26" i="1"/>
  <c r="AF26" i="1"/>
  <c r="AE26" i="1"/>
  <c r="AC26" i="1"/>
  <c r="AH25" i="1"/>
  <c r="AC25" i="1"/>
  <c r="AB25" i="1"/>
  <c r="AA25" i="1"/>
  <c r="Z25" i="1"/>
  <c r="AH24" i="1"/>
  <c r="AG24" i="1"/>
  <c r="AC24" i="1"/>
  <c r="AH23" i="1"/>
  <c r="AF23" i="1"/>
  <c r="AE23" i="1"/>
  <c r="AC23" i="1"/>
  <c r="AB23" i="1"/>
  <c r="AA23" i="1"/>
  <c r="AH22" i="1"/>
  <c r="AC22" i="1"/>
  <c r="AA22" i="1"/>
  <c r="Z22" i="1"/>
  <c r="AH21" i="1"/>
  <c r="AG21" i="1"/>
  <c r="AC21" i="1"/>
  <c r="AH20" i="1"/>
  <c r="AC20" i="1"/>
  <c r="AB20" i="1"/>
  <c r="AH19" i="1"/>
  <c r="AG19" i="1"/>
  <c r="AF19" i="1"/>
  <c r="AE19" i="1"/>
  <c r="AC19" i="1"/>
  <c r="AB19" i="1"/>
  <c r="AA19" i="1"/>
  <c r="Z19" i="1"/>
  <c r="AO17" i="1"/>
  <c r="AH17" i="1"/>
  <c r="AE17" i="1"/>
  <c r="AC17" i="1"/>
  <c r="AB17" i="1"/>
  <c r="AA17" i="1"/>
  <c r="Z17" i="1"/>
  <c r="AO16" i="1"/>
  <c r="AH16" i="1"/>
  <c r="AC16" i="1"/>
  <c r="AA16" i="1"/>
  <c r="Z16" i="1"/>
  <c r="AO15" i="1"/>
  <c r="AH15" i="1"/>
  <c r="AC15" i="1"/>
  <c r="AA15" i="1"/>
  <c r="AO14" i="1"/>
  <c r="AL14" i="1"/>
  <c r="AH14" i="1"/>
  <c r="AG14" i="1"/>
  <c r="AF14" i="1"/>
  <c r="AE14" i="1"/>
  <c r="AC14" i="1"/>
  <c r="AB14" i="1"/>
  <c r="AA14" i="1"/>
  <c r="AO13" i="1"/>
  <c r="AM13" i="1"/>
  <c r="AL13" i="1"/>
  <c r="AH13" i="1"/>
  <c r="AG13" i="1"/>
  <c r="AF13" i="1"/>
  <c r="AE13" i="1"/>
  <c r="AC13" i="1"/>
  <c r="AB13" i="1"/>
  <c r="AO12" i="1"/>
  <c r="AH12" i="1"/>
  <c r="AG12" i="1"/>
  <c r="AC12" i="1"/>
  <c r="AO11" i="1"/>
  <c r="AH11" i="1"/>
  <c r="AC11" i="1"/>
  <c r="AO10" i="1"/>
  <c r="AN10" i="1"/>
  <c r="AM10" i="1"/>
  <c r="AL10" i="1"/>
  <c r="AH10" i="1"/>
  <c r="AG10" i="1"/>
  <c r="AF10" i="1"/>
  <c r="AE10" i="1"/>
  <c r="AC10" i="1"/>
  <c r="AB10" i="1"/>
  <c r="AA10" i="1"/>
  <c r="AB54" i="1"/>
  <c r="AM17" i="1"/>
  <c r="Z26" i="1"/>
  <c r="AN16" i="1"/>
  <c r="AA43" i="1"/>
  <c r="AF43" i="1" s="1"/>
  <c r="AL16" i="1"/>
  <c r="AB52" i="1"/>
  <c r="AA42" i="1"/>
  <c r="AF42" i="1" s="1"/>
  <c r="AB40" i="1"/>
  <c r="AG40" i="1" s="1"/>
  <c r="AA13" i="1"/>
  <c r="Z50" i="1"/>
  <c r="AN12" i="1"/>
  <c r="AB2" i="1"/>
  <c r="AB48" i="1" s="1"/>
  <c r="AA2" i="1"/>
  <c r="AA20" i="1" s="1"/>
  <c r="Z2" i="1"/>
  <c r="Z48" i="1" s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T17" i="1"/>
  <c r="F31" i="1"/>
  <c r="G31" i="1"/>
  <c r="F32" i="1"/>
  <c r="G32" i="1"/>
  <c r="F33" i="1"/>
  <c r="G33" i="1"/>
  <c r="F34" i="1"/>
  <c r="G34" i="1"/>
  <c r="F35" i="1"/>
  <c r="G35" i="1"/>
  <c r="G30" i="1"/>
  <c r="F30" i="1"/>
  <c r="C13" i="3"/>
  <c r="H23" i="3"/>
  <c r="I23" i="3"/>
  <c r="J23" i="3"/>
  <c r="K23" i="3"/>
  <c r="L23" i="3"/>
  <c r="M23" i="3"/>
  <c r="H24" i="3"/>
  <c r="I24" i="3"/>
  <c r="J24" i="3"/>
  <c r="K24" i="3"/>
  <c r="M24" i="3"/>
  <c r="H25" i="3"/>
  <c r="I25" i="3"/>
  <c r="J25" i="3"/>
  <c r="K25" i="3"/>
  <c r="M25" i="3"/>
  <c r="H26" i="3"/>
  <c r="I26" i="3"/>
  <c r="J26" i="3"/>
  <c r="K26" i="3"/>
  <c r="M26" i="3"/>
  <c r="H27" i="3"/>
  <c r="I27" i="3"/>
  <c r="J27" i="3"/>
  <c r="K27" i="3"/>
  <c r="M27" i="3"/>
  <c r="H28" i="3"/>
  <c r="I28" i="3"/>
  <c r="J28" i="3"/>
  <c r="K28" i="3"/>
  <c r="M28" i="3"/>
  <c r="H29" i="3"/>
  <c r="I29" i="3"/>
  <c r="J29" i="3"/>
  <c r="K29" i="3"/>
  <c r="M29" i="3"/>
  <c r="K45" i="3"/>
  <c r="I58" i="3"/>
  <c r="I59" i="3"/>
  <c r="I60" i="3"/>
  <c r="I61" i="3"/>
  <c r="I57" i="3"/>
  <c r="K33" i="3"/>
  <c r="I52" i="3" s="1"/>
  <c r="M18" i="3"/>
  <c r="J18" i="3"/>
  <c r="K18" i="3"/>
  <c r="L18" i="3"/>
  <c r="I18" i="3"/>
  <c r="K17" i="3"/>
  <c r="L17" i="3"/>
  <c r="M17" i="3"/>
  <c r="J17" i="3"/>
  <c r="J16" i="3"/>
  <c r="K16" i="3"/>
  <c r="L16" i="3"/>
  <c r="M16" i="3"/>
  <c r="I16" i="3"/>
  <c r="M15" i="3"/>
  <c r="L15" i="3"/>
  <c r="K15" i="3"/>
  <c r="J15" i="3"/>
  <c r="H14" i="3"/>
  <c r="I14" i="3"/>
  <c r="J14" i="3"/>
  <c r="K14" i="3"/>
  <c r="L14" i="3"/>
  <c r="M14" i="3"/>
  <c r="M11" i="3"/>
  <c r="M10" i="3"/>
  <c r="L11" i="3"/>
  <c r="L10" i="3"/>
  <c r="K11" i="3"/>
  <c r="K10" i="3"/>
  <c r="J11" i="3"/>
  <c r="J10" i="3"/>
  <c r="I11" i="3"/>
  <c r="I10" i="3"/>
  <c r="H6" i="3"/>
  <c r="I6" i="3"/>
  <c r="J6" i="3"/>
  <c r="K6" i="3"/>
  <c r="L6" i="3"/>
  <c r="H5" i="3"/>
  <c r="I5" i="3"/>
  <c r="J5" i="3"/>
  <c r="K5" i="3"/>
  <c r="L5" i="3"/>
  <c r="K4" i="3"/>
  <c r="J4" i="3"/>
  <c r="I4" i="3"/>
  <c r="H4" i="3"/>
  <c r="D38" i="3" l="1"/>
  <c r="C38" i="3"/>
  <c r="B38" i="3"/>
  <c r="E38" i="3"/>
  <c r="X52" i="3"/>
  <c r="AD27" i="3"/>
  <c r="AD25" i="3"/>
  <c r="A37" i="3"/>
  <c r="C37" i="3"/>
  <c r="E37" i="3"/>
  <c r="D37" i="3"/>
  <c r="AF17" i="1"/>
  <c r="AA44" i="1"/>
  <c r="AF44" i="1" s="1"/>
  <c r="AG17" i="1"/>
  <c r="AB44" i="1"/>
  <c r="AG44" i="1" s="1"/>
  <c r="AB26" i="1"/>
  <c r="AD50" i="1"/>
  <c r="AB32" i="1"/>
  <c r="AN13" i="1"/>
  <c r="AP13" i="1" s="1"/>
  <c r="AG23" i="1"/>
  <c r="AF12" i="1"/>
  <c r="AE12" i="1"/>
  <c r="AP16" i="1"/>
  <c r="AE11" i="1"/>
  <c r="AF11" i="1"/>
  <c r="AC33" i="1"/>
  <c r="AA48" i="1"/>
  <c r="AM11" i="1"/>
  <c r="AG15" i="1"/>
  <c r="AB30" i="1"/>
  <c r="AE38" i="1"/>
  <c r="Z40" i="1"/>
  <c r="AE40" i="1" s="1"/>
  <c r="Z43" i="1"/>
  <c r="AE43" i="1" s="1"/>
  <c r="Z49" i="1"/>
  <c r="AB51" i="1"/>
  <c r="AD51" i="1" s="1"/>
  <c r="AM15" i="1"/>
  <c r="AB49" i="1"/>
  <c r="AM16" i="1"/>
  <c r="Z52" i="1"/>
  <c r="AE20" i="1"/>
  <c r="AF20" i="1"/>
  <c r="AC34" i="1"/>
  <c r="AA38" i="1"/>
  <c r="AL11" i="1"/>
  <c r="AL12" i="1"/>
  <c r="AP12" i="1" s="1"/>
  <c r="AE16" i="1"/>
  <c r="AG20" i="1"/>
  <c r="AF16" i="1"/>
  <c r="AN11" i="1"/>
  <c r="AG16" i="1"/>
  <c r="Z21" i="1"/>
  <c r="AE22" i="1"/>
  <c r="Z24" i="1"/>
  <c r="AE25" i="1"/>
  <c r="AL15" i="1"/>
  <c r="AA21" i="1"/>
  <c r="AF22" i="1"/>
  <c r="AA24" i="1"/>
  <c r="AF25" i="1"/>
  <c r="AC30" i="1"/>
  <c r="AF38" i="1"/>
  <c r="AA40" i="1"/>
  <c r="AF40" i="1" s="1"/>
  <c r="AA49" i="1"/>
  <c r="Z54" i="1"/>
  <c r="AD54" i="1" s="1"/>
  <c r="Z11" i="1"/>
  <c r="Z12" i="1"/>
  <c r="AN14" i="1"/>
  <c r="AP14" i="1" s="1"/>
  <c r="AB21" i="1"/>
  <c r="AG22" i="1"/>
  <c r="AB24" i="1"/>
  <c r="AG25" i="1"/>
  <c r="AB31" i="1"/>
  <c r="AG38" i="1"/>
  <c r="AB43" i="1"/>
  <c r="AG43" i="1" s="1"/>
  <c r="AA54" i="1"/>
  <c r="AA11" i="1"/>
  <c r="AA12" i="1"/>
  <c r="Z13" i="1"/>
  <c r="AN15" i="1"/>
  <c r="AL17" i="1"/>
  <c r="AP17" i="1" s="1"/>
  <c r="AC31" i="1"/>
  <c r="AB11" i="1"/>
  <c r="AB12" i="1"/>
  <c r="Z14" i="1"/>
  <c r="Z20" i="1"/>
  <c r="AE21" i="1"/>
  <c r="Z23" i="1"/>
  <c r="AE24" i="1"/>
  <c r="Z42" i="1"/>
  <c r="AE42" i="1" s="1"/>
  <c r="AA52" i="1"/>
  <c r="AB33" i="1"/>
  <c r="AG11" i="1"/>
  <c r="Z38" i="1"/>
  <c r="AE15" i="1"/>
  <c r="AF15" i="1"/>
  <c r="AB38" i="1"/>
  <c r="AM12" i="1"/>
  <c r="AF21" i="1"/>
  <c r="AF24" i="1"/>
  <c r="I56" i="3"/>
  <c r="I54" i="3"/>
  <c r="I53" i="3"/>
  <c r="I51" i="3"/>
  <c r="I55" i="3"/>
  <c r="B7" i="3"/>
  <c r="B17" i="3"/>
  <c r="B18" i="3" s="1"/>
  <c r="A5" i="3"/>
  <c r="B5" i="3"/>
  <c r="C5" i="3"/>
  <c r="D5" i="3"/>
  <c r="E5" i="3"/>
  <c r="F5" i="3"/>
  <c r="A6" i="3"/>
  <c r="B6" i="3"/>
  <c r="C6" i="3"/>
  <c r="D6" i="3"/>
  <c r="F6" i="3"/>
  <c r="A7" i="3"/>
  <c r="C7" i="3"/>
  <c r="D7" i="3"/>
  <c r="F7" i="3"/>
  <c r="A8" i="3"/>
  <c r="B8" i="3"/>
  <c r="C8" i="3"/>
  <c r="D8" i="3"/>
  <c r="F8" i="3"/>
  <c r="A9" i="3"/>
  <c r="B9" i="3"/>
  <c r="C9" i="3"/>
  <c r="D9" i="3"/>
  <c r="F9" i="3"/>
  <c r="A10" i="3"/>
  <c r="B10" i="3"/>
  <c r="C10" i="3"/>
  <c r="D10" i="3"/>
  <c r="F10" i="3"/>
  <c r="A11" i="3"/>
  <c r="B11" i="3"/>
  <c r="C11" i="3"/>
  <c r="D11" i="3"/>
  <c r="F11" i="3"/>
  <c r="G57" i="2"/>
  <c r="G55" i="2"/>
  <c r="G53" i="2"/>
  <c r="G54" i="2"/>
  <c r="G56" i="2"/>
  <c r="G52" i="2"/>
  <c r="F53" i="2"/>
  <c r="F54" i="2"/>
  <c r="F55" i="2"/>
  <c r="F56" i="2"/>
  <c r="F57" i="2"/>
  <c r="F52" i="2"/>
  <c r="E53" i="2"/>
  <c r="E54" i="2"/>
  <c r="E55" i="2"/>
  <c r="E56" i="2"/>
  <c r="E57" i="2"/>
  <c r="E52" i="2"/>
  <c r="D57" i="2"/>
  <c r="D53" i="2"/>
  <c r="D52" i="2"/>
  <c r="D56" i="2"/>
  <c r="D55" i="2"/>
  <c r="D54" i="2"/>
  <c r="H58" i="2"/>
  <c r="G43" i="2"/>
  <c r="G44" i="2"/>
  <c r="G45" i="2"/>
  <c r="G46" i="2"/>
  <c r="G47" i="2"/>
  <c r="F43" i="2"/>
  <c r="F44" i="2"/>
  <c r="F45" i="2"/>
  <c r="F46" i="2"/>
  <c r="F47" i="2"/>
  <c r="E43" i="2"/>
  <c r="E44" i="2"/>
  <c r="E45" i="2"/>
  <c r="E46" i="2"/>
  <c r="E47" i="2"/>
  <c r="D43" i="2"/>
  <c r="D44" i="2"/>
  <c r="D45" i="2"/>
  <c r="D46" i="2"/>
  <c r="D47" i="2"/>
  <c r="G42" i="2"/>
  <c r="F42" i="2"/>
  <c r="E42" i="2"/>
  <c r="D42" i="2"/>
  <c r="E49" i="2"/>
  <c r="F49" i="2"/>
  <c r="G49" i="2"/>
  <c r="D49" i="2"/>
  <c r="E48" i="2"/>
  <c r="F48" i="2"/>
  <c r="G48" i="2"/>
  <c r="D48" i="2"/>
  <c r="G35" i="2"/>
  <c r="G36" i="2"/>
  <c r="G37" i="2"/>
  <c r="G38" i="2"/>
  <c r="G39" i="2"/>
  <c r="F35" i="2"/>
  <c r="F36" i="2"/>
  <c r="F37" i="2"/>
  <c r="F38" i="2"/>
  <c r="F39" i="2"/>
  <c r="E35" i="2"/>
  <c r="E36" i="2"/>
  <c r="E37" i="2"/>
  <c r="E38" i="2"/>
  <c r="E39" i="2"/>
  <c r="D35" i="2"/>
  <c r="D36" i="2"/>
  <c r="D37" i="2"/>
  <c r="D38" i="2"/>
  <c r="D39" i="2"/>
  <c r="G34" i="2"/>
  <c r="F34" i="2"/>
  <c r="E34" i="2"/>
  <c r="D34" i="2"/>
  <c r="G27" i="2"/>
  <c r="G28" i="2"/>
  <c r="G29" i="2"/>
  <c r="G30" i="2"/>
  <c r="G31" i="2"/>
  <c r="F27" i="2"/>
  <c r="F28" i="2"/>
  <c r="F29" i="2"/>
  <c r="F30" i="2"/>
  <c r="F31" i="2"/>
  <c r="E27" i="2"/>
  <c r="E28" i="2"/>
  <c r="E29" i="2"/>
  <c r="E30" i="2"/>
  <c r="E31" i="2"/>
  <c r="D27" i="2"/>
  <c r="D28" i="2"/>
  <c r="D29" i="2"/>
  <c r="D30" i="2"/>
  <c r="D31" i="2"/>
  <c r="G26" i="2"/>
  <c r="F26" i="2"/>
  <c r="E26" i="2"/>
  <c r="D26" i="2"/>
  <c r="G19" i="2"/>
  <c r="G20" i="2"/>
  <c r="G21" i="2"/>
  <c r="G22" i="2"/>
  <c r="G23" i="2"/>
  <c r="G18" i="2"/>
  <c r="F19" i="2"/>
  <c r="F20" i="2"/>
  <c r="F21" i="2"/>
  <c r="F22" i="2"/>
  <c r="F23" i="2"/>
  <c r="F18" i="2"/>
  <c r="E19" i="2"/>
  <c r="E20" i="2"/>
  <c r="E21" i="2"/>
  <c r="E22" i="2"/>
  <c r="E23" i="2"/>
  <c r="E18" i="2"/>
  <c r="D18" i="2"/>
  <c r="D19" i="2"/>
  <c r="D20" i="2"/>
  <c r="D21" i="2"/>
  <c r="D22" i="2"/>
  <c r="D23" i="2"/>
  <c r="D11" i="2"/>
  <c r="F10" i="2"/>
  <c r="G11" i="2"/>
  <c r="G12" i="2"/>
  <c r="G13" i="2"/>
  <c r="G14" i="2"/>
  <c r="G15" i="2"/>
  <c r="G10" i="2"/>
  <c r="F11" i="2"/>
  <c r="F12" i="2"/>
  <c r="F13" i="2"/>
  <c r="F14" i="2"/>
  <c r="F15" i="2"/>
  <c r="E11" i="2"/>
  <c r="E12" i="2"/>
  <c r="E13" i="2"/>
  <c r="E14" i="2"/>
  <c r="E15" i="2"/>
  <c r="E10" i="2"/>
  <c r="D12" i="2"/>
  <c r="D13" i="2"/>
  <c r="D14" i="2"/>
  <c r="D15" i="2"/>
  <c r="D10" i="2"/>
  <c r="H7" i="2"/>
  <c r="H6" i="2"/>
  <c r="H5" i="2"/>
  <c r="H4" i="2"/>
  <c r="H3" i="2"/>
  <c r="A1" i="2"/>
  <c r="B1" i="2"/>
  <c r="A2" i="2"/>
  <c r="B2" i="2"/>
  <c r="H2" i="2" s="1"/>
  <c r="A3" i="2"/>
  <c r="B3" i="2"/>
  <c r="A4" i="2"/>
  <c r="B4" i="2"/>
  <c r="D39" i="1"/>
  <c r="E39" i="1"/>
  <c r="F39" i="1"/>
  <c r="G39" i="1"/>
  <c r="G40" i="1"/>
  <c r="E41" i="1"/>
  <c r="F41" i="1"/>
  <c r="G41" i="1"/>
  <c r="E43" i="1"/>
  <c r="D42" i="1"/>
  <c r="D43" i="1"/>
  <c r="D44" i="1"/>
  <c r="D47" i="1"/>
  <c r="E47" i="1"/>
  <c r="F47" i="1"/>
  <c r="G47" i="1"/>
  <c r="G48" i="1"/>
  <c r="E49" i="1"/>
  <c r="G49" i="1"/>
  <c r="D50" i="1"/>
  <c r="E50" i="1"/>
  <c r="H50" i="1" s="1"/>
  <c r="F50" i="1"/>
  <c r="G50" i="1"/>
  <c r="G51" i="1"/>
  <c r="E52" i="1"/>
  <c r="G52" i="1"/>
  <c r="D53" i="1"/>
  <c r="H53" i="1" s="1"/>
  <c r="E53" i="1"/>
  <c r="F53" i="1"/>
  <c r="G53" i="1"/>
  <c r="G54" i="1"/>
  <c r="I37" i="1"/>
  <c r="J37" i="1"/>
  <c r="K37" i="1"/>
  <c r="L37" i="1"/>
  <c r="I38" i="1"/>
  <c r="J38" i="1"/>
  <c r="K38" i="1"/>
  <c r="L38" i="1"/>
  <c r="L39" i="1"/>
  <c r="L40" i="1"/>
  <c r="L41" i="1"/>
  <c r="L42" i="1"/>
  <c r="L43" i="1"/>
  <c r="L44" i="1"/>
  <c r="D37" i="1"/>
  <c r="E37" i="1"/>
  <c r="F37" i="1"/>
  <c r="G37" i="1"/>
  <c r="D38" i="1"/>
  <c r="E38" i="1"/>
  <c r="F38" i="1"/>
  <c r="G38" i="1"/>
  <c r="G42" i="1"/>
  <c r="G43" i="1"/>
  <c r="G44" i="1"/>
  <c r="I19" i="1"/>
  <c r="J19" i="1"/>
  <c r="K19" i="1"/>
  <c r="L19" i="1"/>
  <c r="J20" i="1"/>
  <c r="K20" i="1"/>
  <c r="L20" i="1"/>
  <c r="I21" i="1"/>
  <c r="J21" i="1"/>
  <c r="K21" i="1"/>
  <c r="L21" i="1"/>
  <c r="L22" i="1"/>
  <c r="J23" i="1"/>
  <c r="K23" i="1"/>
  <c r="L23" i="1"/>
  <c r="I24" i="1"/>
  <c r="J24" i="1"/>
  <c r="K24" i="1"/>
  <c r="L24" i="1"/>
  <c r="L25" i="1"/>
  <c r="I26" i="1"/>
  <c r="K26" i="1"/>
  <c r="L26" i="1"/>
  <c r="D19" i="1"/>
  <c r="E19" i="1"/>
  <c r="F19" i="1"/>
  <c r="G19" i="1"/>
  <c r="G20" i="1"/>
  <c r="E21" i="1"/>
  <c r="G21" i="1"/>
  <c r="D22" i="1"/>
  <c r="E22" i="1"/>
  <c r="F22" i="1"/>
  <c r="G22" i="1"/>
  <c r="G23" i="1"/>
  <c r="E24" i="1"/>
  <c r="G24" i="1"/>
  <c r="D25" i="1"/>
  <c r="E25" i="1"/>
  <c r="F25" i="1"/>
  <c r="G25" i="1"/>
  <c r="G26" i="1"/>
  <c r="D6" i="1"/>
  <c r="D15" i="1" s="1"/>
  <c r="I15" i="1"/>
  <c r="D5" i="1"/>
  <c r="D14" i="1" s="1"/>
  <c r="I10" i="1"/>
  <c r="J10" i="1"/>
  <c r="K10" i="1"/>
  <c r="L10" i="1"/>
  <c r="L11" i="1"/>
  <c r="J12" i="1"/>
  <c r="L12" i="1"/>
  <c r="I13" i="1"/>
  <c r="J13" i="1"/>
  <c r="K13" i="1"/>
  <c r="L13" i="1"/>
  <c r="L14" i="1"/>
  <c r="J15" i="1"/>
  <c r="L15" i="1"/>
  <c r="I16" i="1"/>
  <c r="J16" i="1"/>
  <c r="K16" i="1"/>
  <c r="L16" i="1"/>
  <c r="I17" i="1"/>
  <c r="L17" i="1"/>
  <c r="E7" i="1"/>
  <c r="E16" i="1" s="1"/>
  <c r="E10" i="1"/>
  <c r="F10" i="1"/>
  <c r="G10" i="1"/>
  <c r="D11" i="1"/>
  <c r="E11" i="1"/>
  <c r="F11" i="1"/>
  <c r="G11" i="1"/>
  <c r="G12" i="1"/>
  <c r="G13" i="1"/>
  <c r="G14" i="1"/>
  <c r="G15" i="1"/>
  <c r="G16" i="1"/>
  <c r="G17" i="1"/>
  <c r="F5" i="1"/>
  <c r="F14" i="1" s="1"/>
  <c r="T16" i="1"/>
  <c r="T12" i="1"/>
  <c r="T15" i="1"/>
  <c r="T14" i="1"/>
  <c r="T13" i="1"/>
  <c r="F2" i="1"/>
  <c r="E2" i="1"/>
  <c r="J11" i="1" s="1"/>
  <c r="D2" i="1"/>
  <c r="I11" i="1" s="1"/>
  <c r="F8" i="1"/>
  <c r="F17" i="1" s="1"/>
  <c r="F7" i="1"/>
  <c r="F16" i="1" s="1"/>
  <c r="F6" i="1"/>
  <c r="F15" i="1" s="1"/>
  <c r="F4" i="1"/>
  <c r="F13" i="1" s="1"/>
  <c r="F3" i="1"/>
  <c r="F12" i="1" s="1"/>
  <c r="E8" i="1"/>
  <c r="E17" i="1" s="1"/>
  <c r="E6" i="1"/>
  <c r="E15" i="1" s="1"/>
  <c r="E5" i="1"/>
  <c r="E14" i="1" s="1"/>
  <c r="E4" i="1"/>
  <c r="E13" i="1" s="1"/>
  <c r="E3" i="1"/>
  <c r="E12" i="1" s="1"/>
  <c r="D8" i="1"/>
  <c r="D17" i="1" s="1"/>
  <c r="D7" i="1"/>
  <c r="D16" i="1" s="1"/>
  <c r="D4" i="1"/>
  <c r="D13" i="1" s="1"/>
  <c r="D3" i="1"/>
  <c r="D12" i="1" s="1"/>
  <c r="AP15" i="1" l="1"/>
  <c r="AD52" i="1"/>
  <c r="AD49" i="1"/>
  <c r="H27" i="2"/>
  <c r="H28" i="2"/>
  <c r="H30" i="2"/>
  <c r="H31" i="2"/>
  <c r="K12" i="1"/>
  <c r="F40" i="1"/>
  <c r="F26" i="1"/>
  <c r="F23" i="1"/>
  <c r="F20" i="1"/>
  <c r="K25" i="1"/>
  <c r="K22" i="1"/>
  <c r="F54" i="1"/>
  <c r="F51" i="1"/>
  <c r="F48" i="1"/>
  <c r="E42" i="1"/>
  <c r="E40" i="1"/>
  <c r="H29" i="2"/>
  <c r="H57" i="2"/>
  <c r="F21" i="1"/>
  <c r="F49" i="1"/>
  <c r="K15" i="1"/>
  <c r="D21" i="1"/>
  <c r="D52" i="1"/>
  <c r="H52" i="1" s="1"/>
  <c r="K14" i="1"/>
  <c r="K11" i="1"/>
  <c r="E26" i="1"/>
  <c r="E23" i="1"/>
  <c r="E20" i="1"/>
  <c r="J25" i="1"/>
  <c r="J22" i="1"/>
  <c r="E54" i="1"/>
  <c r="E51" i="1"/>
  <c r="E48" i="1"/>
  <c r="F44" i="1"/>
  <c r="D40" i="1"/>
  <c r="F24" i="1"/>
  <c r="F52" i="1"/>
  <c r="D41" i="1"/>
  <c r="D24" i="1"/>
  <c r="I23" i="1"/>
  <c r="I20" i="1"/>
  <c r="K17" i="1"/>
  <c r="J14" i="1"/>
  <c r="D26" i="1"/>
  <c r="D23" i="1"/>
  <c r="D20" i="1"/>
  <c r="I25" i="1"/>
  <c r="I22" i="1"/>
  <c r="D54" i="1"/>
  <c r="D51" i="1"/>
  <c r="D48" i="1"/>
  <c r="F43" i="1"/>
  <c r="J26" i="1"/>
  <c r="D49" i="1"/>
  <c r="H49" i="1" s="1"/>
  <c r="E44" i="1"/>
  <c r="I12" i="1"/>
  <c r="J17" i="1"/>
  <c r="I14" i="1"/>
  <c r="F42" i="1"/>
  <c r="H52" i="2"/>
  <c r="H18" i="2"/>
  <c r="H34" i="2"/>
  <c r="H49" i="2"/>
  <c r="H23" i="2"/>
  <c r="H39" i="2"/>
  <c r="H53" i="2"/>
  <c r="H22" i="2"/>
  <c r="H38" i="2"/>
  <c r="H54" i="2"/>
  <c r="H21" i="2"/>
  <c r="H37" i="2"/>
  <c r="H56" i="2"/>
  <c r="H10" i="2"/>
  <c r="H55" i="2" s="1"/>
  <c r="H20" i="2"/>
  <c r="H36" i="2"/>
  <c r="H15" i="2"/>
  <c r="H19" i="2"/>
  <c r="H35" i="2"/>
  <c r="H14" i="2"/>
  <c r="H26" i="2"/>
  <c r="H13" i="2"/>
  <c r="H48" i="2"/>
  <c r="H12" i="2"/>
  <c r="H11" i="2"/>
  <c r="A17" i="3"/>
  <c r="A18" i="3" s="1"/>
  <c r="D17" i="3"/>
  <c r="D18" i="3" s="1"/>
  <c r="C17" i="3"/>
  <c r="C18" i="3" s="1"/>
  <c r="H43" i="2" l="1"/>
  <c r="H51" i="1"/>
  <c r="H54" i="1"/>
  <c r="H45" i="2"/>
  <c r="H47" i="2"/>
  <c r="L28" i="3"/>
  <c r="E10" i="3"/>
  <c r="L25" i="3"/>
  <c r="E7" i="3"/>
  <c r="L29" i="3"/>
  <c r="E11" i="3"/>
  <c r="L26" i="3"/>
  <c r="E8" i="3"/>
  <c r="L24" i="3"/>
  <c r="E6" i="3"/>
  <c r="H46" i="2"/>
  <c r="L27" i="3"/>
  <c r="E9" i="3"/>
  <c r="H42" i="2"/>
  <c r="H44" i="2"/>
  <c r="E17" i="3" l="1"/>
  <c r="E18" i="3" s="1"/>
  <c r="E22" i="3" s="1"/>
  <c r="E29" i="3" s="1"/>
  <c r="O23" i="3" a="1"/>
  <c r="T25" i="3" s="1"/>
  <c r="R23" i="3"/>
  <c r="R25" i="3"/>
  <c r="R27" i="3"/>
  <c r="S23" i="3"/>
  <c r="S25" i="3"/>
  <c r="S27" i="3"/>
  <c r="T23" i="3"/>
  <c r="T27" i="3"/>
  <c r="O26" i="3"/>
  <c r="P24" i="3"/>
  <c r="P26" i="3"/>
  <c r="P28" i="3"/>
  <c r="Q24" i="3"/>
  <c r="Q26" i="3"/>
  <c r="Q28" i="3"/>
  <c r="R24" i="3"/>
  <c r="R28" i="3"/>
  <c r="S24" i="3"/>
  <c r="S28" i="3"/>
  <c r="T26" i="3"/>
  <c r="T28" i="3"/>
  <c r="O23" i="3"/>
  <c r="O25" i="3"/>
  <c r="O27" i="3"/>
  <c r="P23" i="3"/>
  <c r="P27" i="3"/>
  <c r="B22" i="3"/>
  <c r="B29" i="3" s="1"/>
  <c r="B30" i="3" s="1"/>
  <c r="D22" i="3"/>
  <c r="D29" i="3" s="1"/>
  <c r="D30" i="3" s="1"/>
  <c r="C22" i="3"/>
  <c r="C29" i="3" s="1"/>
  <c r="A22" i="3"/>
  <c r="A29" i="3" s="1"/>
  <c r="A30" i="3" s="1"/>
  <c r="Q27" i="3" l="1"/>
  <c r="T24" i="3"/>
  <c r="I50" i="3" s="1"/>
  <c r="O28" i="3"/>
  <c r="Q23" i="3"/>
  <c r="S26" i="3"/>
  <c r="I49" i="3" s="1"/>
  <c r="O24" i="3"/>
  <c r="Q25" i="3"/>
  <c r="I47" i="3" s="1"/>
  <c r="P25" i="3"/>
  <c r="I46" i="3" s="1"/>
  <c r="R26" i="3"/>
  <c r="I45" i="3"/>
  <c r="I48" i="3"/>
  <c r="C30" i="3"/>
  <c r="E30" i="3"/>
</calcChain>
</file>

<file path=xl/sharedStrings.xml><?xml version="1.0" encoding="utf-8"?>
<sst xmlns="http://schemas.openxmlformats.org/spreadsheetml/2006/main" count="270" uniqueCount="126">
  <si>
    <t>شماره دانشجویی</t>
  </si>
  <si>
    <t>A</t>
  </si>
  <si>
    <t>B</t>
  </si>
  <si>
    <t>C</t>
  </si>
  <si>
    <t>وضعیت بازار</t>
  </si>
  <si>
    <t>تقاضا  کم</t>
  </si>
  <si>
    <t>تقاضا متوسط</t>
  </si>
  <si>
    <t>تقاضا زیاد</t>
  </si>
  <si>
    <t>محصول نوع 1</t>
  </si>
  <si>
    <t>محصول نوع 2</t>
  </si>
  <si>
    <t>محصول نوع 3</t>
  </si>
  <si>
    <t>محصول نوع 4</t>
  </si>
  <si>
    <t>محصول نوع 5</t>
  </si>
  <si>
    <t>محصول نوع 6</t>
  </si>
  <si>
    <t>احتمال وقوع</t>
  </si>
  <si>
    <t>بدبینانه</t>
  </si>
  <si>
    <t>Max i min j Oij</t>
  </si>
  <si>
    <t>خوشبینانه</t>
  </si>
  <si>
    <t>Max i max j Oij</t>
  </si>
  <si>
    <t>محصول نوع 3 یا 6 انتخاب میشوند</t>
  </si>
  <si>
    <t>هارویز</t>
  </si>
  <si>
    <t>حداقل پشیمانی</t>
  </si>
  <si>
    <t>min i max j r ij</t>
  </si>
  <si>
    <t>r ij = Oij-Max j Oij</t>
  </si>
  <si>
    <t>Max j Oij</t>
  </si>
  <si>
    <t>الف</t>
  </si>
  <si>
    <t>لاپلاس</t>
  </si>
  <si>
    <t>محصول 6 انتخاب میشود</t>
  </si>
  <si>
    <t>امید ریاضی</t>
  </si>
  <si>
    <t>ب</t>
  </si>
  <si>
    <t>دسترسی به حمل و نقل عمومی</t>
  </si>
  <si>
    <t>تعداد بوستان در منطقه</t>
  </si>
  <si>
    <t>میزان ترافیک</t>
  </si>
  <si>
    <t>دسترسی به بازار خرید</t>
  </si>
  <si>
    <t>متوسط قیمت خرید</t>
  </si>
  <si>
    <t>منطقه</t>
  </si>
  <si>
    <t>نرم اقلیدوسی</t>
  </si>
  <si>
    <t>نرم ساده</t>
  </si>
  <si>
    <t>روش خطی</t>
  </si>
  <si>
    <t>فاصله ای (فازی)</t>
  </si>
  <si>
    <t>mean</t>
  </si>
  <si>
    <t>std</t>
  </si>
  <si>
    <t>توزیع نرمال</t>
  </si>
  <si>
    <t>مرکزگرا</t>
  </si>
  <si>
    <t>مقدار مطلوب</t>
  </si>
  <si>
    <t>گام اول: بی مقیاس سازی  با روش نرم ساده</t>
  </si>
  <si>
    <t>گام دوم: محاسبه عدد ثابت k</t>
  </si>
  <si>
    <t>K:</t>
  </si>
  <si>
    <t>گام سوم: محاسبه آنتروپی داده های نرمال شده برای هر معیار</t>
  </si>
  <si>
    <t>گام چهارم: محاسبه وزن هر معیار</t>
  </si>
  <si>
    <t>Ej</t>
  </si>
  <si>
    <t>dj</t>
  </si>
  <si>
    <t>lambda</t>
  </si>
  <si>
    <t>w</t>
  </si>
  <si>
    <t>w prime</t>
  </si>
  <si>
    <t>دسترسی به بازار</t>
  </si>
  <si>
    <t>متوسط قیمت</t>
  </si>
  <si>
    <t>شاخص</t>
  </si>
  <si>
    <t>تعداد رای</t>
  </si>
  <si>
    <t>D:</t>
  </si>
  <si>
    <t>درصد آرا</t>
  </si>
  <si>
    <t>رتبه</t>
  </si>
  <si>
    <t>گام اول: محاسبه درصد آرا و تعیین رتبه ها</t>
  </si>
  <si>
    <t>گام دوم: تشکیل جدول جدید</t>
  </si>
  <si>
    <t>Sj</t>
  </si>
  <si>
    <t>Kj=Sj+1</t>
  </si>
  <si>
    <t>Qj(Q1=1,Qj=(QJ-1)/Kj</t>
  </si>
  <si>
    <t>گام سوم، چهارم، پنجم و ششم</t>
  </si>
  <si>
    <t>Wj</t>
  </si>
  <si>
    <t>ALPHA</t>
  </si>
  <si>
    <t>گزینه</t>
  </si>
  <si>
    <t>w1</t>
  </si>
  <si>
    <t>w2</t>
  </si>
  <si>
    <t>w3</t>
  </si>
  <si>
    <t>w4</t>
  </si>
  <si>
    <t>w5</t>
  </si>
  <si>
    <t>d1</t>
  </si>
  <si>
    <t>d2</t>
  </si>
  <si>
    <t>d3</t>
  </si>
  <si>
    <t>d4</t>
  </si>
  <si>
    <t>d5</t>
  </si>
  <si>
    <t>d6</t>
  </si>
  <si>
    <t>M</t>
  </si>
  <si>
    <t>e</t>
  </si>
  <si>
    <t xml:space="preserve"> بی مقیاس سازی  با روش نرم ساده</t>
  </si>
  <si>
    <t>transpose of ( بی مقیاس سازی  با روش نرم ساده)</t>
  </si>
  <si>
    <t>obj</t>
  </si>
  <si>
    <t>a11.w1 + a12.w2 + a13.w3 + a14.w4 + a15.w5 + d1=1</t>
  </si>
  <si>
    <t>a21.w1 + a22.w2 + a23.w3 + a24.w4 + a25.w5 + d2=1</t>
  </si>
  <si>
    <t>a31.w1 + a32.w2 + a33.w3 + a34.w4 + a35.w5 + d3=1</t>
  </si>
  <si>
    <t>a41.w1 + a42.w2 + a43.w3 + a44.w4 + a45.w5 + d4=1</t>
  </si>
  <si>
    <t>a51.w1 + a52.w2 + a53.w3 + a54.w4 + a55.w5 + d5=1</t>
  </si>
  <si>
    <t>a61.w1 + a62.w2 + a63.w3 + a64.w4 + a65.w5 + d6=1</t>
  </si>
  <si>
    <t>M-d1</t>
  </si>
  <si>
    <t>M-d2</t>
  </si>
  <si>
    <t>M-d3</t>
  </si>
  <si>
    <t>M-d4</t>
  </si>
  <si>
    <t>M-d5</t>
  </si>
  <si>
    <t>M-d6</t>
  </si>
  <si>
    <t>W1-e</t>
  </si>
  <si>
    <t>W2-e</t>
  </si>
  <si>
    <t>W3-e</t>
  </si>
  <si>
    <t>W4-e</t>
  </si>
  <si>
    <t>W5-e</t>
  </si>
  <si>
    <t>نیازی به روش تقویت شده نمیباشد</t>
  </si>
  <si>
    <t>محصول نوع 3 یا 6 انتخاب میشود</t>
  </si>
  <si>
    <t>محصول نوع 3 انتخاب میشود</t>
  </si>
  <si>
    <t>محصول 1 انتخاب میشود</t>
  </si>
  <si>
    <t>محصول 3 انتخاب میشود</t>
  </si>
  <si>
    <t>مدیر بازاریابی</t>
  </si>
  <si>
    <t>بیز</t>
  </si>
  <si>
    <t>مدیر تولید(بخش ج)</t>
  </si>
  <si>
    <t>3 or 6</t>
  </si>
  <si>
    <t>روش انتخاب</t>
  </si>
  <si>
    <t>آنتروپی بدون تعدیل وزن</t>
  </si>
  <si>
    <t>آنتروپی با تعدیل وزن</t>
  </si>
  <si>
    <t>تحلیل پوششی با نرم ساده</t>
  </si>
  <si>
    <t>روش SWARA</t>
  </si>
  <si>
    <t xml:space="preserve"> بی مقیاس سازی  با روش فاصله ای(فازی)</t>
  </si>
  <si>
    <t>transpose of ( بی مقیاس سازی  با روش فاصله ای)</t>
  </si>
  <si>
    <t>تحلیل پوششی با روش فاصله ای</t>
  </si>
  <si>
    <r>
      <t xml:space="preserve">برای دو معیار منفی کلامی(دسترسی به بازار خرید و میزان ترافیک) تبدیل صورت گرفته است. به این شکل که </t>
    </r>
    <r>
      <rPr>
        <b/>
        <sz val="11"/>
        <color rgb="FFFF0000"/>
        <rFont val="Calibri"/>
        <family val="2"/>
        <scheme val="minor"/>
      </rPr>
      <t>میزان ترافیک کم نسبت به ترافیک زیاد عدد بیشتری گرفته</t>
    </r>
    <r>
      <rPr>
        <b/>
        <sz val="11"/>
        <color theme="1"/>
        <rFont val="Calibri"/>
        <family val="2"/>
        <scheme val="minor"/>
      </rPr>
      <t xml:space="preserve"> و همچنین </t>
    </r>
    <r>
      <rPr>
        <b/>
        <sz val="11"/>
        <color rgb="FFFF0000"/>
        <rFont val="Calibri"/>
        <family val="2"/>
        <scheme val="minor"/>
      </rPr>
      <t>دسترسی به بازار نزدیک عدد بیشتری نسبت به دسترسی به بازار دور دارد</t>
    </r>
    <r>
      <rPr>
        <b/>
        <sz val="11"/>
        <color theme="1"/>
        <rFont val="Calibri"/>
        <family val="2"/>
        <scheme val="minor"/>
      </rPr>
      <t xml:space="preserve"> به همین علت این دو معیار را نیز مثبت در نظر میگیریم. لذا تنها معیار منفی متوسط قیمت خرید است</t>
    </r>
  </si>
  <si>
    <t>Reza Eskandari</t>
  </si>
  <si>
    <t>A/B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</si>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</sst>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medium">
        <color indexed="64"/>
      </top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14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3" xfId="0" applyFill="1" applyBorder="1"/>
    <xf numFmtId="0" fontId="0" fillId="5" borderId="4" xfId="0" applyFill="1" applyBorder="1"/>
    <xf numFmtId="0" fontId="0" fillId="5" borderId="0" xfId="0" applyFill="1"/>
    <xf numFmtId="0" fontId="0" fillId="5" borderId="1" xfId="0" applyFill="1" applyBorder="1"/>
    <xf numFmtId="0" fontId="0" fillId="5" borderId="6" xfId="0" applyFill="1" applyBorder="1"/>
    <xf numFmtId="0" fontId="0" fillId="5" borderId="10" xfId="0" applyFill="1" applyBorder="1"/>
    <xf numFmtId="0" fontId="0" fillId="5" borderId="8" xfId="0" applyFill="1" applyBorder="1"/>
    <xf numFmtId="0" fontId="0" fillId="0" borderId="29" xfId="0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39" xfId="0" applyFill="1" applyBorder="1"/>
    <xf numFmtId="0" fontId="0" fillId="5" borderId="38" xfId="0" applyFill="1" applyBorder="1"/>
    <xf numFmtId="0" fontId="0" fillId="5" borderId="40" xfId="0" applyFill="1" applyBorder="1"/>
    <xf numFmtId="0" fontId="0" fillId="5" borderId="41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textRotation="90"/>
    </xf>
    <xf numFmtId="0" fontId="6" fillId="16" borderId="33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6" borderId="33" xfId="0" applyFont="1" applyFill="1" applyBorder="1" applyAlignment="1">
      <alignment horizontal="center" vertical="center" wrapText="1"/>
    </xf>
    <xf numFmtId="0" fontId="6" fillId="16" borderId="36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6" borderId="29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5" fillId="15" borderId="0" xfId="0" applyFont="1" applyFill="1" applyAlignment="1">
      <alignment horizontal="center" vertical="center" wrapText="1"/>
    </xf>
    <xf numFmtId="0" fontId="5" fillId="15" borderId="16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15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46">
    <dxf>
      <fill>
        <patternFill patternType="solid"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208C-6418-4D23-924B-6B6917153920}">
  <dimension ref="A1:AX56"/>
  <sheetViews>
    <sheetView tabSelected="1" zoomScale="71" zoomScaleNormal="85" workbookViewId="0">
      <selection activeCell="T33" sqref="T33"/>
    </sheetView>
  </sheetViews>
  <sheetFormatPr defaultRowHeight="14.4" x14ac:dyDescent="0.3"/>
  <cols>
    <col min="1" max="1" width="15.109375" style="2" bestFit="1" customWidth="1"/>
    <col min="2" max="2" width="9.21875" style="2" bestFit="1" customWidth="1"/>
    <col min="3" max="3" width="8.88671875" style="2"/>
    <col min="4" max="4" width="10.44140625" style="2" bestFit="1" customWidth="1"/>
    <col min="5" max="5" width="10" style="2" bestFit="1" customWidth="1"/>
    <col min="6" max="6" width="8.88671875" style="2"/>
    <col min="7" max="7" width="10.6640625" style="2" bestFit="1" customWidth="1"/>
    <col min="8" max="8" width="11" style="2" bestFit="1" customWidth="1"/>
    <col min="9" max="11" width="8.88671875" style="2"/>
    <col min="12" max="12" width="10.6640625" style="2" bestFit="1" customWidth="1"/>
    <col min="13" max="13" width="8.5546875" style="2" customWidth="1"/>
    <col min="14" max="18" width="8.88671875" style="2"/>
    <col min="19" max="19" width="11.109375" style="2" bestFit="1" customWidth="1"/>
    <col min="20" max="22" width="8.88671875" style="2"/>
    <col min="23" max="23" width="15.6640625" style="2" bestFit="1" customWidth="1"/>
    <col min="24" max="24" width="9" style="2" bestFit="1" customWidth="1"/>
    <col min="25" max="28" width="8.88671875" style="2"/>
    <col min="29" max="30" width="10.77734375" style="2" bestFit="1" customWidth="1"/>
    <col min="31" max="33" width="8.88671875" style="2"/>
    <col min="34" max="34" width="10.6640625" style="2" bestFit="1" customWidth="1"/>
    <col min="35" max="40" width="8.88671875" style="2"/>
    <col min="41" max="41" width="10.6640625" style="2" bestFit="1" customWidth="1"/>
    <col min="42" max="45" width="8.88671875" style="2"/>
    <col min="46" max="46" width="17.33203125" style="2" customWidth="1"/>
    <col min="47" max="47" width="11.88671875" style="2" customWidth="1"/>
    <col min="48" max="48" width="11.21875" style="2" bestFit="1" customWidth="1"/>
    <col min="49" max="49" width="3.6640625" style="2" customWidth="1"/>
    <col min="50" max="16384" width="8.88671875" style="2"/>
  </cols>
  <sheetData>
    <row r="1" spans="1:50" ht="15" thickTop="1" x14ac:dyDescent="0.3">
      <c r="A1" s="79" t="s">
        <v>0</v>
      </c>
      <c r="B1" s="80">
        <v>40125003</v>
      </c>
      <c r="C1" s="81"/>
      <c r="D1" s="82" t="s">
        <v>7</v>
      </c>
      <c r="E1" s="83" t="s">
        <v>6</v>
      </c>
      <c r="F1" s="83" t="s">
        <v>5</v>
      </c>
      <c r="G1" s="84" t="s">
        <v>4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114" t="s">
        <v>123</v>
      </c>
      <c r="V1" s="115"/>
      <c r="W1" s="99"/>
      <c r="X1" s="81"/>
      <c r="Y1" s="81"/>
      <c r="Z1" s="82" t="s">
        <v>7</v>
      </c>
      <c r="AA1" s="83" t="s">
        <v>6</v>
      </c>
      <c r="AB1" s="83" t="s">
        <v>5</v>
      </c>
      <c r="AC1" s="84" t="s">
        <v>4</v>
      </c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114" t="s">
        <v>124</v>
      </c>
      <c r="AR1" s="115"/>
      <c r="AS1" s="99"/>
      <c r="AT1" s="81"/>
      <c r="AU1" s="112" t="s">
        <v>125</v>
      </c>
      <c r="AV1" s="112"/>
      <c r="AW1" s="81"/>
      <c r="AX1" s="85"/>
    </row>
    <row r="2" spans="1:50" x14ac:dyDescent="0.3">
      <c r="A2" s="86" t="s">
        <v>1</v>
      </c>
      <c r="B2" s="1">
        <v>750</v>
      </c>
      <c r="D2" s="6">
        <f>0.3-0.2*$B$4</f>
        <v>0.24</v>
      </c>
      <c r="E2" s="7">
        <f>0.3+0.5*$B$4</f>
        <v>0.44999999999999996</v>
      </c>
      <c r="F2" s="7">
        <f>0.4-0.3*$B$4</f>
        <v>0.31000000000000005</v>
      </c>
      <c r="G2" s="8" t="s">
        <v>14</v>
      </c>
      <c r="U2" s="116"/>
      <c r="V2" s="117"/>
      <c r="W2" s="87"/>
      <c r="Z2" s="6">
        <f>0.3-0.2*$B$4</f>
        <v>0.24</v>
      </c>
      <c r="AA2" s="7">
        <f>0.3+0.5*$B$4</f>
        <v>0.44999999999999996</v>
      </c>
      <c r="AB2" s="7">
        <f>0.4-0.3*$B$4</f>
        <v>0.31000000000000005</v>
      </c>
      <c r="AC2" s="8" t="s">
        <v>14</v>
      </c>
      <c r="AQ2" s="116"/>
      <c r="AR2" s="117"/>
      <c r="AS2" s="87"/>
      <c r="AU2" s="113"/>
      <c r="AV2" s="113"/>
      <c r="AX2" s="73"/>
    </row>
    <row r="3" spans="1:50" x14ac:dyDescent="0.3">
      <c r="A3" s="86" t="s">
        <v>2</v>
      </c>
      <c r="B3" s="1">
        <v>300</v>
      </c>
      <c r="D3" s="9">
        <f>2*$B$2+2*$B$3</f>
        <v>2100</v>
      </c>
      <c r="E3" s="10">
        <f>2*$B$2</f>
        <v>1500</v>
      </c>
      <c r="F3" s="10">
        <f>$B$2+$B$3</f>
        <v>1050</v>
      </c>
      <c r="G3" s="8" t="s">
        <v>8</v>
      </c>
      <c r="V3" s="73"/>
      <c r="W3" s="87"/>
      <c r="Z3" s="9">
        <f>D3*1.3</f>
        <v>2730</v>
      </c>
      <c r="AA3" s="9">
        <f t="shared" ref="AA3:AB3" si="0">E3*1.3</f>
        <v>1950</v>
      </c>
      <c r="AB3" s="9">
        <f t="shared" si="0"/>
        <v>1365</v>
      </c>
      <c r="AC3" s="8" t="s">
        <v>8</v>
      </c>
      <c r="AR3" s="73"/>
      <c r="AS3" s="87"/>
      <c r="AX3" s="73"/>
    </row>
    <row r="4" spans="1:50" x14ac:dyDescent="0.3">
      <c r="A4" s="86" t="s">
        <v>3</v>
      </c>
      <c r="B4" s="1">
        <v>0.3</v>
      </c>
      <c r="D4" s="9">
        <f>2*$B$2+3*$B$3</f>
        <v>2400</v>
      </c>
      <c r="E4" s="10">
        <f>$B$2</f>
        <v>750</v>
      </c>
      <c r="F4" s="10">
        <f>$B$2+2*$B$3</f>
        <v>1350</v>
      </c>
      <c r="G4" s="8" t="s">
        <v>9</v>
      </c>
      <c r="V4" s="73"/>
      <c r="W4" s="87"/>
      <c r="Z4" s="9">
        <f t="shared" ref="Z4:Z5" si="1">D4*1.3</f>
        <v>3120</v>
      </c>
      <c r="AA4" s="9">
        <f t="shared" ref="AA4:AA5" si="2">E4*1.3</f>
        <v>975</v>
      </c>
      <c r="AB4" s="9">
        <f t="shared" ref="AB4:AB5" si="3">F4*1.3</f>
        <v>1755</v>
      </c>
      <c r="AC4" s="8" t="s">
        <v>9</v>
      </c>
      <c r="AR4" s="73"/>
      <c r="AS4" s="87"/>
      <c r="AX4" s="73"/>
    </row>
    <row r="5" spans="1:50" x14ac:dyDescent="0.3">
      <c r="A5" s="87"/>
      <c r="D5" s="9">
        <f>3*$B$2+2*$B$3</f>
        <v>2850</v>
      </c>
      <c r="E5" s="10">
        <f>2*$B$2</f>
        <v>1500</v>
      </c>
      <c r="F5" s="10">
        <f>$B$2+3*$B$3</f>
        <v>1650</v>
      </c>
      <c r="G5" s="8" t="s">
        <v>10</v>
      </c>
      <c r="V5" s="73"/>
      <c r="W5" s="87"/>
      <c r="Z5" s="9">
        <f t="shared" si="1"/>
        <v>3705</v>
      </c>
      <c r="AA5" s="9">
        <f t="shared" si="2"/>
        <v>1950</v>
      </c>
      <c r="AB5" s="9">
        <f t="shared" si="3"/>
        <v>2145</v>
      </c>
      <c r="AC5" s="8" t="s">
        <v>10</v>
      </c>
      <c r="AR5" s="73"/>
      <c r="AS5" s="87"/>
      <c r="AT5" s="43" t="s">
        <v>111</v>
      </c>
      <c r="AU5" s="43" t="s">
        <v>109</v>
      </c>
      <c r="AX5" s="73"/>
    </row>
    <row r="6" spans="1:50" x14ac:dyDescent="0.3">
      <c r="A6" s="104" t="s">
        <v>122</v>
      </c>
      <c r="D6" s="9">
        <f>2*$B$2+$B$3</f>
        <v>1800</v>
      </c>
      <c r="E6" s="10">
        <f>$B$2</f>
        <v>750</v>
      </c>
      <c r="F6" s="10">
        <f>$B$2+1.5*$B$3</f>
        <v>1200</v>
      </c>
      <c r="G6" s="8" t="s">
        <v>11</v>
      </c>
      <c r="V6" s="73"/>
      <c r="W6" s="87"/>
      <c r="Z6" s="9">
        <f>D6*0.7</f>
        <v>1260</v>
      </c>
      <c r="AA6" s="9">
        <f t="shared" ref="AA6:AB6" si="4">E6*0.7</f>
        <v>525</v>
      </c>
      <c r="AB6" s="9">
        <f t="shared" si="4"/>
        <v>840</v>
      </c>
      <c r="AC6" s="8" t="s">
        <v>11</v>
      </c>
      <c r="AR6" s="73"/>
      <c r="AS6" s="87"/>
      <c r="AT6" s="22">
        <v>3</v>
      </c>
      <c r="AU6" s="22" t="s">
        <v>112</v>
      </c>
      <c r="AV6" s="43" t="s">
        <v>15</v>
      </c>
      <c r="AW6" s="111" t="s">
        <v>113</v>
      </c>
      <c r="AX6" s="73"/>
    </row>
    <row r="7" spans="1:50" x14ac:dyDescent="0.3">
      <c r="A7" s="87"/>
      <c r="D7" s="9">
        <f>2*$B$2+4*$B$3</f>
        <v>2700</v>
      </c>
      <c r="E7" s="10">
        <f>1.5*$B$2</f>
        <v>1125</v>
      </c>
      <c r="F7" s="10">
        <f>$B$2+2.5*$B$3</f>
        <v>1500</v>
      </c>
      <c r="G7" s="8" t="s">
        <v>12</v>
      </c>
      <c r="V7" s="73"/>
      <c r="W7" s="87"/>
      <c r="Z7" s="9">
        <f t="shared" ref="Z7:Z8" si="5">D7*0.7</f>
        <v>1889.9999999999998</v>
      </c>
      <c r="AA7" s="9">
        <f t="shared" ref="AA7:AA8" si="6">E7*0.7</f>
        <v>787.5</v>
      </c>
      <c r="AB7" s="9">
        <f t="shared" ref="AB7:AB8" si="7">F7*0.7</f>
        <v>1050</v>
      </c>
      <c r="AC7" s="8" t="s">
        <v>12</v>
      </c>
      <c r="AR7" s="73"/>
      <c r="AS7" s="87"/>
      <c r="AT7" s="22">
        <v>3</v>
      </c>
      <c r="AU7" s="22" t="s">
        <v>112</v>
      </c>
      <c r="AV7" s="43" t="s">
        <v>17</v>
      </c>
      <c r="AW7" s="111"/>
      <c r="AX7" s="73"/>
    </row>
    <row r="8" spans="1:50" ht="15" thickBot="1" x14ac:dyDescent="0.35">
      <c r="A8" s="87"/>
      <c r="D8" s="11">
        <f>3*$B$2+2*$B$3</f>
        <v>2850</v>
      </c>
      <c r="E8" s="12">
        <f>2*$B$2</f>
        <v>1500</v>
      </c>
      <c r="F8" s="12">
        <f>$B$2+3.5*$B$3</f>
        <v>1800</v>
      </c>
      <c r="G8" s="13" t="s">
        <v>13</v>
      </c>
      <c r="V8" s="73"/>
      <c r="W8" s="87"/>
      <c r="Z8" s="9">
        <f t="shared" si="5"/>
        <v>1994.9999999999998</v>
      </c>
      <c r="AA8" s="9">
        <f t="shared" si="6"/>
        <v>1050</v>
      </c>
      <c r="AB8" s="9">
        <f t="shared" si="7"/>
        <v>1260</v>
      </c>
      <c r="AC8" s="13" t="s">
        <v>13</v>
      </c>
      <c r="AR8" s="73"/>
      <c r="AS8" s="87"/>
      <c r="AT8" s="22">
        <v>3</v>
      </c>
      <c r="AU8" s="22" t="s">
        <v>112</v>
      </c>
      <c r="AV8" s="43" t="s">
        <v>20</v>
      </c>
      <c r="AW8" s="111"/>
      <c r="AX8" s="73"/>
    </row>
    <row r="9" spans="1:50" ht="15" thickBot="1" x14ac:dyDescent="0.35">
      <c r="A9" s="88"/>
      <c r="B9" s="65"/>
      <c r="C9" s="65"/>
      <c r="D9" s="65"/>
      <c r="E9" s="65"/>
      <c r="F9" s="65"/>
      <c r="G9" s="65"/>
      <c r="H9" s="65"/>
      <c r="I9" s="65"/>
      <c r="J9" s="65"/>
      <c r="K9" s="14" t="s">
        <v>25</v>
      </c>
      <c r="L9" s="65"/>
      <c r="M9" s="65"/>
      <c r="N9" s="65"/>
      <c r="P9" s="65"/>
      <c r="Q9" s="65"/>
      <c r="R9" s="65"/>
      <c r="S9" s="65"/>
      <c r="T9" s="65"/>
      <c r="U9" s="65"/>
      <c r="V9" s="74" t="s">
        <v>29</v>
      </c>
      <c r="W9" s="88"/>
      <c r="X9" s="65"/>
      <c r="Y9" s="65"/>
      <c r="Z9" s="65"/>
      <c r="AA9" s="65"/>
      <c r="AB9" s="65"/>
      <c r="AC9" s="65"/>
      <c r="AD9" s="65"/>
      <c r="AE9" s="65"/>
      <c r="AF9" s="65"/>
      <c r="AG9" s="14" t="s">
        <v>25</v>
      </c>
      <c r="AH9" s="65"/>
      <c r="AI9" s="65"/>
      <c r="AJ9" s="65"/>
      <c r="AL9" s="65"/>
      <c r="AM9" s="65"/>
      <c r="AN9" s="65"/>
      <c r="AO9" s="65"/>
      <c r="AP9" s="65"/>
      <c r="AQ9" s="65"/>
      <c r="AR9" s="74" t="s">
        <v>29</v>
      </c>
      <c r="AS9" s="87"/>
      <c r="AT9" s="22">
        <v>1</v>
      </c>
      <c r="AU9" s="22">
        <v>6</v>
      </c>
      <c r="AV9" s="43" t="s">
        <v>21</v>
      </c>
      <c r="AW9" s="111"/>
      <c r="AX9" s="73"/>
    </row>
    <row r="10" spans="1:50" x14ac:dyDescent="0.3">
      <c r="A10" s="89"/>
      <c r="B10" s="15"/>
      <c r="C10" s="15"/>
      <c r="D10" s="3"/>
      <c r="E10" s="4" t="str">
        <f t="shared" ref="D10:G17" si="8">E1</f>
        <v>تقاضا متوسط</v>
      </c>
      <c r="F10" s="4" t="str">
        <f t="shared" si="8"/>
        <v>تقاضا  کم</v>
      </c>
      <c r="G10" s="5" t="str">
        <f t="shared" si="8"/>
        <v>وضعیت بازار</v>
      </c>
      <c r="H10" s="15"/>
      <c r="I10" s="3" t="str">
        <f t="shared" ref="I10:L17" si="9">D1</f>
        <v>تقاضا زیاد</v>
      </c>
      <c r="J10" s="4" t="str">
        <f t="shared" si="9"/>
        <v>تقاضا متوسط</v>
      </c>
      <c r="K10" s="4" t="str">
        <f t="shared" si="9"/>
        <v>تقاضا  کم</v>
      </c>
      <c r="L10" s="5" t="str">
        <f t="shared" si="9"/>
        <v>وضعیت بازار</v>
      </c>
      <c r="M10" s="15"/>
      <c r="N10" s="16"/>
      <c r="P10" s="17" t="str">
        <f t="shared" ref="P10:S17" si="10">D1</f>
        <v>تقاضا زیاد</v>
      </c>
      <c r="Q10" s="18" t="str">
        <f t="shared" si="10"/>
        <v>تقاضا متوسط</v>
      </c>
      <c r="R10" s="18" t="str">
        <f t="shared" si="10"/>
        <v>تقاضا  کم</v>
      </c>
      <c r="S10" s="19" t="str">
        <f t="shared" si="10"/>
        <v>وضعیت بازار</v>
      </c>
      <c r="T10" s="106" t="s">
        <v>28</v>
      </c>
      <c r="U10" s="65"/>
      <c r="V10" s="75"/>
      <c r="W10" s="89"/>
      <c r="X10" s="15"/>
      <c r="Y10" s="15"/>
      <c r="Z10" s="3"/>
      <c r="AA10" s="4" t="str">
        <f t="shared" ref="AA10:AC10" si="11">AA1</f>
        <v>تقاضا متوسط</v>
      </c>
      <c r="AB10" s="4" t="str">
        <f t="shared" si="11"/>
        <v>تقاضا  کم</v>
      </c>
      <c r="AC10" s="5" t="str">
        <f t="shared" si="11"/>
        <v>وضعیت بازار</v>
      </c>
      <c r="AD10" s="15"/>
      <c r="AE10" s="3" t="str">
        <f t="shared" ref="AE10:AE17" si="12">Z1</f>
        <v>تقاضا زیاد</v>
      </c>
      <c r="AF10" s="4" t="str">
        <f t="shared" ref="AF10:AF17" si="13">AA1</f>
        <v>تقاضا متوسط</v>
      </c>
      <c r="AG10" s="4" t="str">
        <f t="shared" ref="AG10:AG17" si="14">AB1</f>
        <v>تقاضا  کم</v>
      </c>
      <c r="AH10" s="5" t="str">
        <f t="shared" ref="AH10:AH17" si="15">AC1</f>
        <v>وضعیت بازار</v>
      </c>
      <c r="AI10" s="15"/>
      <c r="AJ10" s="16"/>
      <c r="AL10" s="17" t="str">
        <f t="shared" ref="AL10:AL17" si="16">Z1</f>
        <v>تقاضا زیاد</v>
      </c>
      <c r="AM10" s="18" t="str">
        <f t="shared" ref="AM10:AM17" si="17">AA1</f>
        <v>تقاضا متوسط</v>
      </c>
      <c r="AN10" s="18" t="str">
        <f t="shared" ref="AN10:AN17" si="18">AB1</f>
        <v>تقاضا  کم</v>
      </c>
      <c r="AO10" s="19" t="str">
        <f t="shared" ref="AO10:AO17" si="19">AC1</f>
        <v>وضعیت بازار</v>
      </c>
      <c r="AP10" s="106" t="s">
        <v>28</v>
      </c>
      <c r="AQ10" s="65"/>
      <c r="AR10" s="75"/>
      <c r="AS10" s="87"/>
      <c r="AT10" s="22">
        <v>3</v>
      </c>
      <c r="AU10" s="22">
        <v>6</v>
      </c>
      <c r="AV10" s="43" t="s">
        <v>26</v>
      </c>
      <c r="AW10" s="111"/>
      <c r="AX10" s="73"/>
    </row>
    <row r="11" spans="1:50" x14ac:dyDescent="0.3">
      <c r="A11" s="88"/>
      <c r="B11" s="65"/>
      <c r="C11" s="65"/>
      <c r="D11" s="6">
        <f t="shared" si="8"/>
        <v>0.24</v>
      </c>
      <c r="E11" s="7">
        <f t="shared" si="8"/>
        <v>0.44999999999999996</v>
      </c>
      <c r="F11" s="7">
        <f t="shared" si="8"/>
        <v>0.31000000000000005</v>
      </c>
      <c r="G11" s="8" t="str">
        <f t="shared" si="8"/>
        <v>احتمال وقوع</v>
      </c>
      <c r="H11" s="65"/>
      <c r="I11" s="6">
        <f t="shared" si="9"/>
        <v>0.24</v>
      </c>
      <c r="J11" s="7">
        <f t="shared" si="9"/>
        <v>0.44999999999999996</v>
      </c>
      <c r="K11" s="7">
        <f t="shared" si="9"/>
        <v>0.31000000000000005</v>
      </c>
      <c r="L11" s="8" t="str">
        <f t="shared" si="9"/>
        <v>احتمال وقوع</v>
      </c>
      <c r="M11" s="65"/>
      <c r="N11" s="20"/>
      <c r="P11" s="21">
        <f t="shared" si="10"/>
        <v>0.24</v>
      </c>
      <c r="Q11" s="22">
        <f t="shared" si="10"/>
        <v>0.44999999999999996</v>
      </c>
      <c r="R11" s="22">
        <f t="shared" si="10"/>
        <v>0.31000000000000005</v>
      </c>
      <c r="S11" s="23" t="str">
        <f t="shared" si="10"/>
        <v>احتمال وقوع</v>
      </c>
      <c r="T11" s="107"/>
      <c r="U11" s="65"/>
      <c r="V11" s="75"/>
      <c r="W11" s="88"/>
      <c r="X11" s="65"/>
      <c r="Y11" s="65"/>
      <c r="Z11" s="6">
        <f t="shared" ref="Z11:AC11" si="20">Z2</f>
        <v>0.24</v>
      </c>
      <c r="AA11" s="7">
        <f t="shared" si="20"/>
        <v>0.44999999999999996</v>
      </c>
      <c r="AB11" s="7">
        <f t="shared" si="20"/>
        <v>0.31000000000000005</v>
      </c>
      <c r="AC11" s="8" t="str">
        <f t="shared" si="20"/>
        <v>احتمال وقوع</v>
      </c>
      <c r="AD11" s="65"/>
      <c r="AE11" s="6">
        <f t="shared" si="12"/>
        <v>0.24</v>
      </c>
      <c r="AF11" s="7">
        <f t="shared" si="13"/>
        <v>0.44999999999999996</v>
      </c>
      <c r="AG11" s="7">
        <f t="shared" si="14"/>
        <v>0.31000000000000005</v>
      </c>
      <c r="AH11" s="8" t="str">
        <f t="shared" si="15"/>
        <v>احتمال وقوع</v>
      </c>
      <c r="AI11" s="65"/>
      <c r="AJ11" s="20"/>
      <c r="AL11" s="21">
        <f t="shared" si="16"/>
        <v>0.24</v>
      </c>
      <c r="AM11" s="22">
        <f t="shared" si="17"/>
        <v>0.44999999999999996</v>
      </c>
      <c r="AN11" s="22">
        <f t="shared" si="18"/>
        <v>0.31000000000000005</v>
      </c>
      <c r="AO11" s="23" t="str">
        <f t="shared" si="19"/>
        <v>احتمال وقوع</v>
      </c>
      <c r="AP11" s="107"/>
      <c r="AQ11" s="65"/>
      <c r="AR11" s="75"/>
      <c r="AS11" s="87"/>
      <c r="AT11" s="22">
        <v>6</v>
      </c>
      <c r="AU11" s="22">
        <v>6</v>
      </c>
      <c r="AV11" s="43" t="s">
        <v>110</v>
      </c>
      <c r="AW11" s="111"/>
      <c r="AX11" s="73"/>
    </row>
    <row r="12" spans="1:50" x14ac:dyDescent="0.3">
      <c r="A12" s="88" t="s">
        <v>15</v>
      </c>
      <c r="B12" s="65"/>
      <c r="C12" s="65"/>
      <c r="D12" s="9">
        <f t="shared" ref="D12:F17" si="21">D3</f>
        <v>2100</v>
      </c>
      <c r="E12" s="9">
        <f t="shared" si="21"/>
        <v>1500</v>
      </c>
      <c r="F12" s="9">
        <f t="shared" si="21"/>
        <v>1050</v>
      </c>
      <c r="G12" s="8" t="str">
        <f t="shared" si="8"/>
        <v>محصول نوع 1</v>
      </c>
      <c r="H12" s="65"/>
      <c r="I12" s="9">
        <f t="shared" si="9"/>
        <v>2100</v>
      </c>
      <c r="J12" s="10">
        <f t="shared" si="9"/>
        <v>1500</v>
      </c>
      <c r="K12" s="10">
        <f t="shared" si="9"/>
        <v>1050</v>
      </c>
      <c r="L12" s="8" t="str">
        <f t="shared" si="9"/>
        <v>محصول نوع 1</v>
      </c>
      <c r="M12" s="65"/>
      <c r="N12" s="20"/>
      <c r="P12" s="21">
        <f t="shared" si="10"/>
        <v>2100</v>
      </c>
      <c r="Q12" s="22">
        <f t="shared" si="10"/>
        <v>1500</v>
      </c>
      <c r="R12" s="22">
        <f t="shared" si="10"/>
        <v>1050</v>
      </c>
      <c r="S12" s="23" t="str">
        <f t="shared" si="10"/>
        <v>محصول نوع 1</v>
      </c>
      <c r="T12" s="29">
        <f>R12*$R$11+Q12*$Q$11+P12*$P$11</f>
        <v>1504.5</v>
      </c>
      <c r="U12" s="65"/>
      <c r="V12" s="75"/>
      <c r="W12" s="88" t="s">
        <v>15</v>
      </c>
      <c r="X12" s="65"/>
      <c r="Y12" s="65"/>
      <c r="Z12" s="9">
        <f t="shared" ref="Z12:AC12" si="22">Z3</f>
        <v>2730</v>
      </c>
      <c r="AA12" s="9">
        <f t="shared" si="22"/>
        <v>1950</v>
      </c>
      <c r="AB12" s="9">
        <f t="shared" si="22"/>
        <v>1365</v>
      </c>
      <c r="AC12" s="8" t="str">
        <f t="shared" si="22"/>
        <v>محصول نوع 1</v>
      </c>
      <c r="AD12" s="65"/>
      <c r="AE12" s="9">
        <f t="shared" si="12"/>
        <v>2730</v>
      </c>
      <c r="AF12" s="10">
        <f t="shared" si="13"/>
        <v>1950</v>
      </c>
      <c r="AG12" s="10">
        <f t="shared" si="14"/>
        <v>1365</v>
      </c>
      <c r="AH12" s="8" t="str">
        <f t="shared" si="15"/>
        <v>محصول نوع 1</v>
      </c>
      <c r="AI12" s="65"/>
      <c r="AJ12" s="20"/>
      <c r="AL12" s="21">
        <f t="shared" si="16"/>
        <v>2730</v>
      </c>
      <c r="AM12" s="22">
        <f t="shared" si="17"/>
        <v>1950</v>
      </c>
      <c r="AN12" s="22">
        <f t="shared" si="18"/>
        <v>1365</v>
      </c>
      <c r="AO12" s="23" t="str">
        <f t="shared" si="19"/>
        <v>محصول نوع 1</v>
      </c>
      <c r="AP12" s="29">
        <f>AN12*$R$11+AM12*$Q$11+AL12*$P$11</f>
        <v>1955.85</v>
      </c>
      <c r="AQ12" s="65"/>
      <c r="AR12" s="75"/>
      <c r="AS12" s="87"/>
      <c r="AX12" s="73"/>
    </row>
    <row r="13" spans="1:50" x14ac:dyDescent="0.3">
      <c r="A13" s="88" t="s">
        <v>16</v>
      </c>
      <c r="B13" s="65"/>
      <c r="C13" s="65"/>
      <c r="D13" s="9">
        <f>D4</f>
        <v>2400</v>
      </c>
      <c r="E13" s="9">
        <f>E4</f>
        <v>750</v>
      </c>
      <c r="F13" s="9">
        <f>F4</f>
        <v>1350</v>
      </c>
      <c r="G13" s="8" t="str">
        <f t="shared" si="8"/>
        <v>محصول نوع 2</v>
      </c>
      <c r="H13" s="65"/>
      <c r="I13" s="9">
        <f t="shared" si="9"/>
        <v>2400</v>
      </c>
      <c r="J13" s="10">
        <f t="shared" si="9"/>
        <v>750</v>
      </c>
      <c r="K13" s="10">
        <f t="shared" si="9"/>
        <v>1350</v>
      </c>
      <c r="L13" s="8" t="str">
        <f t="shared" si="9"/>
        <v>محصول نوع 2</v>
      </c>
      <c r="M13" s="108" t="s">
        <v>105</v>
      </c>
      <c r="N13" s="109"/>
      <c r="P13" s="21">
        <f t="shared" si="10"/>
        <v>2400</v>
      </c>
      <c r="Q13" s="22">
        <f t="shared" si="10"/>
        <v>750</v>
      </c>
      <c r="R13" s="22">
        <f t="shared" si="10"/>
        <v>1350</v>
      </c>
      <c r="S13" s="23" t="str">
        <f t="shared" si="10"/>
        <v>محصول نوع 2</v>
      </c>
      <c r="T13" s="29">
        <f t="shared" ref="T13:T16" si="23">R13*$R$11+Q13*$Q$11+P13*$P$11</f>
        <v>1332</v>
      </c>
      <c r="U13" s="108" t="s">
        <v>27</v>
      </c>
      <c r="V13" s="110"/>
      <c r="W13" s="88" t="s">
        <v>16</v>
      </c>
      <c r="X13" s="65"/>
      <c r="Y13" s="65"/>
      <c r="Z13" s="9">
        <f>Z4</f>
        <v>3120</v>
      </c>
      <c r="AA13" s="9">
        <f>AA4</f>
        <v>975</v>
      </c>
      <c r="AB13" s="9">
        <f>AB4</f>
        <v>1755</v>
      </c>
      <c r="AC13" s="8" t="str">
        <f t="shared" ref="AC13" si="24">AC4</f>
        <v>محصول نوع 2</v>
      </c>
      <c r="AD13" s="65"/>
      <c r="AE13" s="9">
        <f t="shared" si="12"/>
        <v>3120</v>
      </c>
      <c r="AF13" s="10">
        <f t="shared" si="13"/>
        <v>975</v>
      </c>
      <c r="AG13" s="10">
        <f t="shared" si="14"/>
        <v>1755</v>
      </c>
      <c r="AH13" s="8" t="str">
        <f t="shared" si="15"/>
        <v>محصول نوع 2</v>
      </c>
      <c r="AI13" s="108" t="s">
        <v>106</v>
      </c>
      <c r="AJ13" s="109"/>
      <c r="AL13" s="21">
        <f t="shared" si="16"/>
        <v>3120</v>
      </c>
      <c r="AM13" s="22">
        <f t="shared" si="17"/>
        <v>975</v>
      </c>
      <c r="AN13" s="22">
        <f t="shared" si="18"/>
        <v>1755</v>
      </c>
      <c r="AO13" s="23" t="str">
        <f t="shared" si="19"/>
        <v>محصول نوع 2</v>
      </c>
      <c r="AP13" s="29">
        <f t="shared" ref="AP13:AP16" si="25">AN13*$R$11+AM13*$Q$11+AL13*$P$11</f>
        <v>1731.6</v>
      </c>
      <c r="AQ13" s="108" t="s">
        <v>27</v>
      </c>
      <c r="AR13" s="110"/>
      <c r="AS13" s="87"/>
      <c r="AX13" s="73"/>
    </row>
    <row r="14" spans="1:50" x14ac:dyDescent="0.3">
      <c r="A14" s="88"/>
      <c r="B14" s="65"/>
      <c r="C14" s="65"/>
      <c r="D14" s="9">
        <f t="shared" si="21"/>
        <v>2850</v>
      </c>
      <c r="E14" s="9">
        <f t="shared" si="21"/>
        <v>1500</v>
      </c>
      <c r="F14" s="9">
        <f t="shared" si="21"/>
        <v>1650</v>
      </c>
      <c r="G14" s="8" t="str">
        <f t="shared" si="8"/>
        <v>محصول نوع 3</v>
      </c>
      <c r="H14" s="65"/>
      <c r="I14" s="49">
        <f t="shared" si="9"/>
        <v>2850</v>
      </c>
      <c r="J14" s="50">
        <f t="shared" si="9"/>
        <v>1500</v>
      </c>
      <c r="K14" s="50">
        <f t="shared" si="9"/>
        <v>1650</v>
      </c>
      <c r="L14" s="53" t="str">
        <f t="shared" si="9"/>
        <v>محصول نوع 3</v>
      </c>
      <c r="M14" s="108"/>
      <c r="N14" s="109"/>
      <c r="P14" s="21">
        <f t="shared" si="10"/>
        <v>2850</v>
      </c>
      <c r="Q14" s="22">
        <f t="shared" si="10"/>
        <v>1500</v>
      </c>
      <c r="R14" s="22">
        <f t="shared" si="10"/>
        <v>1650</v>
      </c>
      <c r="S14" s="23" t="str">
        <f t="shared" si="10"/>
        <v>محصول نوع 3</v>
      </c>
      <c r="T14" s="29">
        <f t="shared" si="23"/>
        <v>1870.5</v>
      </c>
      <c r="U14" s="108"/>
      <c r="V14" s="110"/>
      <c r="W14" s="88"/>
      <c r="X14" s="65"/>
      <c r="Y14" s="65"/>
      <c r="Z14" s="9">
        <f t="shared" ref="Z14:AC14" si="26">Z5</f>
        <v>3705</v>
      </c>
      <c r="AA14" s="9">
        <f t="shared" si="26"/>
        <v>1950</v>
      </c>
      <c r="AB14" s="9">
        <f t="shared" si="26"/>
        <v>2145</v>
      </c>
      <c r="AC14" s="8" t="str">
        <f t="shared" si="26"/>
        <v>محصول نوع 3</v>
      </c>
      <c r="AD14" s="65"/>
      <c r="AE14" s="49">
        <f t="shared" si="12"/>
        <v>3705</v>
      </c>
      <c r="AF14" s="50">
        <f t="shared" si="13"/>
        <v>1950</v>
      </c>
      <c r="AG14" s="50">
        <f t="shared" si="14"/>
        <v>2145</v>
      </c>
      <c r="AH14" s="53" t="str">
        <f t="shared" si="15"/>
        <v>محصول نوع 3</v>
      </c>
      <c r="AI14" s="108"/>
      <c r="AJ14" s="109"/>
      <c r="AL14" s="21">
        <f t="shared" si="16"/>
        <v>3705</v>
      </c>
      <c r="AM14" s="22">
        <f t="shared" si="17"/>
        <v>1950</v>
      </c>
      <c r="AN14" s="22">
        <f t="shared" si="18"/>
        <v>2145</v>
      </c>
      <c r="AO14" s="23" t="str">
        <f t="shared" si="19"/>
        <v>محصول نوع 3</v>
      </c>
      <c r="AP14" s="29">
        <f t="shared" si="25"/>
        <v>2431.65</v>
      </c>
      <c r="AQ14" s="108"/>
      <c r="AR14" s="110"/>
      <c r="AS14" s="87"/>
      <c r="AX14" s="73"/>
    </row>
    <row r="15" spans="1:50" x14ac:dyDescent="0.3">
      <c r="A15" s="88"/>
      <c r="B15" s="65"/>
      <c r="C15" s="65"/>
      <c r="D15" s="9">
        <f t="shared" si="21"/>
        <v>1800</v>
      </c>
      <c r="E15" s="9">
        <f t="shared" si="21"/>
        <v>750</v>
      </c>
      <c r="F15" s="9">
        <f t="shared" si="21"/>
        <v>1200</v>
      </c>
      <c r="G15" s="8" t="str">
        <f t="shared" si="8"/>
        <v>محصول نوع 4</v>
      </c>
      <c r="H15" s="65"/>
      <c r="I15" s="9">
        <f t="shared" si="9"/>
        <v>1800</v>
      </c>
      <c r="J15" s="10">
        <f t="shared" si="9"/>
        <v>750</v>
      </c>
      <c r="K15" s="10">
        <f t="shared" si="9"/>
        <v>1200</v>
      </c>
      <c r="L15" s="8" t="str">
        <f t="shared" si="9"/>
        <v>محصول نوع 4</v>
      </c>
      <c r="M15" s="65"/>
      <c r="N15" s="20"/>
      <c r="P15" s="21">
        <f t="shared" si="10"/>
        <v>1800</v>
      </c>
      <c r="Q15" s="22">
        <f t="shared" si="10"/>
        <v>750</v>
      </c>
      <c r="R15" s="22">
        <f t="shared" si="10"/>
        <v>1200</v>
      </c>
      <c r="S15" s="23" t="str">
        <f t="shared" si="10"/>
        <v>محصول نوع 4</v>
      </c>
      <c r="T15" s="29">
        <f t="shared" si="23"/>
        <v>1141.5</v>
      </c>
      <c r="U15" s="65"/>
      <c r="V15" s="75"/>
      <c r="W15" s="88"/>
      <c r="X15" s="65"/>
      <c r="Y15" s="65"/>
      <c r="Z15" s="9">
        <f t="shared" ref="Z15:AC15" si="27">Z6</f>
        <v>1260</v>
      </c>
      <c r="AA15" s="9">
        <f t="shared" si="27"/>
        <v>525</v>
      </c>
      <c r="AB15" s="9">
        <f t="shared" si="27"/>
        <v>840</v>
      </c>
      <c r="AC15" s="8" t="str">
        <f t="shared" si="27"/>
        <v>محصول نوع 4</v>
      </c>
      <c r="AD15" s="65"/>
      <c r="AE15" s="9">
        <f t="shared" si="12"/>
        <v>1260</v>
      </c>
      <c r="AF15" s="10">
        <f t="shared" si="13"/>
        <v>525</v>
      </c>
      <c r="AG15" s="10">
        <f t="shared" si="14"/>
        <v>840</v>
      </c>
      <c r="AH15" s="8" t="str">
        <f t="shared" si="15"/>
        <v>محصول نوع 4</v>
      </c>
      <c r="AI15" s="65"/>
      <c r="AJ15" s="20"/>
      <c r="AL15" s="21">
        <f t="shared" si="16"/>
        <v>1260</v>
      </c>
      <c r="AM15" s="22">
        <f t="shared" si="17"/>
        <v>525</v>
      </c>
      <c r="AN15" s="22">
        <f t="shared" si="18"/>
        <v>840</v>
      </c>
      <c r="AO15" s="23" t="str">
        <f t="shared" si="19"/>
        <v>محصول نوع 4</v>
      </c>
      <c r="AP15" s="29">
        <f t="shared" si="25"/>
        <v>799.05</v>
      </c>
      <c r="AQ15" s="65"/>
      <c r="AR15" s="75"/>
      <c r="AS15" s="87"/>
      <c r="AX15" s="73"/>
    </row>
    <row r="16" spans="1:50" x14ac:dyDescent="0.3">
      <c r="A16" s="88"/>
      <c r="B16" s="65"/>
      <c r="C16" s="65"/>
      <c r="D16" s="9">
        <f t="shared" si="21"/>
        <v>2700</v>
      </c>
      <c r="E16" s="9">
        <f t="shared" si="21"/>
        <v>1125</v>
      </c>
      <c r="F16" s="9">
        <f t="shared" si="21"/>
        <v>1500</v>
      </c>
      <c r="G16" s="8" t="str">
        <f t="shared" si="8"/>
        <v>محصول نوع 5</v>
      </c>
      <c r="H16" s="65"/>
      <c r="I16" s="9">
        <f t="shared" si="9"/>
        <v>2700</v>
      </c>
      <c r="J16" s="10">
        <f t="shared" si="9"/>
        <v>1125</v>
      </c>
      <c r="K16" s="10">
        <f t="shared" si="9"/>
        <v>1500</v>
      </c>
      <c r="L16" s="8" t="str">
        <f t="shared" si="9"/>
        <v>محصول نوع 5</v>
      </c>
      <c r="M16" s="65"/>
      <c r="N16" s="20"/>
      <c r="P16" s="21">
        <f t="shared" si="10"/>
        <v>2700</v>
      </c>
      <c r="Q16" s="22">
        <f t="shared" si="10"/>
        <v>1125</v>
      </c>
      <c r="R16" s="22">
        <f t="shared" si="10"/>
        <v>1500</v>
      </c>
      <c r="S16" s="23" t="str">
        <f t="shared" si="10"/>
        <v>محصول نوع 5</v>
      </c>
      <c r="T16" s="29">
        <f t="shared" si="23"/>
        <v>1619.25</v>
      </c>
      <c r="U16" s="65"/>
      <c r="V16" s="75"/>
      <c r="W16" s="88"/>
      <c r="X16" s="65"/>
      <c r="Y16" s="65"/>
      <c r="Z16" s="9">
        <f t="shared" ref="Z16:AC16" si="28">Z7</f>
        <v>1889.9999999999998</v>
      </c>
      <c r="AA16" s="9">
        <f t="shared" si="28"/>
        <v>787.5</v>
      </c>
      <c r="AB16" s="9">
        <f t="shared" si="28"/>
        <v>1050</v>
      </c>
      <c r="AC16" s="8" t="str">
        <f t="shared" si="28"/>
        <v>محصول نوع 5</v>
      </c>
      <c r="AD16" s="65"/>
      <c r="AE16" s="9">
        <f t="shared" si="12"/>
        <v>1889.9999999999998</v>
      </c>
      <c r="AF16" s="10">
        <f t="shared" si="13"/>
        <v>787.5</v>
      </c>
      <c r="AG16" s="10">
        <f t="shared" si="14"/>
        <v>1050</v>
      </c>
      <c r="AH16" s="8" t="str">
        <f t="shared" si="15"/>
        <v>محصول نوع 5</v>
      </c>
      <c r="AI16" s="65"/>
      <c r="AJ16" s="20"/>
      <c r="AL16" s="21">
        <f t="shared" si="16"/>
        <v>1889.9999999999998</v>
      </c>
      <c r="AM16" s="22">
        <f t="shared" si="17"/>
        <v>787.5</v>
      </c>
      <c r="AN16" s="22">
        <f t="shared" si="18"/>
        <v>1050</v>
      </c>
      <c r="AO16" s="23" t="str">
        <f t="shared" si="19"/>
        <v>محصول نوع 5</v>
      </c>
      <c r="AP16" s="29">
        <f t="shared" si="25"/>
        <v>1133.4749999999999</v>
      </c>
      <c r="AQ16" s="65"/>
      <c r="AR16" s="75"/>
      <c r="AS16" s="87"/>
      <c r="AX16" s="73"/>
    </row>
    <row r="17" spans="1:50" ht="15" thickBot="1" x14ac:dyDescent="0.35">
      <c r="A17" s="90"/>
      <c r="B17" s="24"/>
      <c r="C17" s="24"/>
      <c r="D17" s="9">
        <f t="shared" si="21"/>
        <v>2850</v>
      </c>
      <c r="E17" s="9">
        <f t="shared" si="21"/>
        <v>1500</v>
      </c>
      <c r="F17" s="9">
        <f t="shared" si="21"/>
        <v>1800</v>
      </c>
      <c r="G17" s="13" t="str">
        <f t="shared" si="8"/>
        <v>محصول نوع 6</v>
      </c>
      <c r="H17" s="24"/>
      <c r="I17" s="47">
        <f t="shared" si="9"/>
        <v>2850</v>
      </c>
      <c r="J17" s="48">
        <f t="shared" si="9"/>
        <v>1500</v>
      </c>
      <c r="K17" s="48">
        <f t="shared" si="9"/>
        <v>1800</v>
      </c>
      <c r="L17" s="54" t="str">
        <f t="shared" si="9"/>
        <v>محصول نوع 6</v>
      </c>
      <c r="M17" s="24"/>
      <c r="N17" s="28"/>
      <c r="P17" s="25">
        <f t="shared" si="10"/>
        <v>2850</v>
      </c>
      <c r="Q17" s="26">
        <f t="shared" si="10"/>
        <v>1500</v>
      </c>
      <c r="R17" s="26">
        <f t="shared" si="10"/>
        <v>1800</v>
      </c>
      <c r="S17" s="27" t="str">
        <f t="shared" si="10"/>
        <v>محصول نوع 6</v>
      </c>
      <c r="T17" s="30">
        <f>R17*$R$11+Q17*$Q$11+P17*$P$11</f>
        <v>1917</v>
      </c>
      <c r="U17" s="65"/>
      <c r="V17" s="75"/>
      <c r="W17" s="90"/>
      <c r="X17" s="24"/>
      <c r="Y17" s="24"/>
      <c r="Z17" s="9">
        <f t="shared" ref="Z17:AC17" si="29">Z8</f>
        <v>1994.9999999999998</v>
      </c>
      <c r="AA17" s="9">
        <f t="shared" si="29"/>
        <v>1050</v>
      </c>
      <c r="AB17" s="9">
        <f t="shared" si="29"/>
        <v>1260</v>
      </c>
      <c r="AC17" s="13" t="str">
        <f t="shared" si="29"/>
        <v>محصول نوع 6</v>
      </c>
      <c r="AD17" s="24"/>
      <c r="AE17" s="25">
        <f t="shared" si="12"/>
        <v>1994.9999999999998</v>
      </c>
      <c r="AF17" s="26">
        <f t="shared" si="13"/>
        <v>1050</v>
      </c>
      <c r="AG17" s="26">
        <f t="shared" si="14"/>
        <v>1260</v>
      </c>
      <c r="AH17" s="13" t="str">
        <f t="shared" si="15"/>
        <v>محصول نوع 6</v>
      </c>
      <c r="AI17" s="24"/>
      <c r="AJ17" s="28"/>
      <c r="AL17" s="25">
        <f t="shared" si="16"/>
        <v>1994.9999999999998</v>
      </c>
      <c r="AM17" s="26">
        <f t="shared" si="17"/>
        <v>1050</v>
      </c>
      <c r="AN17" s="26">
        <f t="shared" si="18"/>
        <v>1260</v>
      </c>
      <c r="AO17" s="27" t="str">
        <f t="shared" si="19"/>
        <v>محصول نوع 6</v>
      </c>
      <c r="AP17" s="30">
        <f>AN17*$R$11+AM17*$Q$11+AL17*$P$11</f>
        <v>1341.9</v>
      </c>
      <c r="AQ17" s="65"/>
      <c r="AR17" s="75"/>
      <c r="AS17" s="100"/>
      <c r="AT17" s="97"/>
      <c r="AU17" s="97"/>
      <c r="AV17" s="97"/>
      <c r="AW17" s="97"/>
      <c r="AX17" s="98"/>
    </row>
    <row r="18" spans="1:50" ht="15" thickBot="1" x14ac:dyDescent="0.35">
      <c r="A18" s="88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V18" s="73"/>
      <c r="W18" s="88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R18" s="73"/>
    </row>
    <row r="19" spans="1:50" x14ac:dyDescent="0.3">
      <c r="A19" s="89"/>
      <c r="B19" s="15"/>
      <c r="C19" s="15"/>
      <c r="D19" s="3" t="str">
        <f t="shared" ref="D19:G26" si="30">D1</f>
        <v>تقاضا زیاد</v>
      </c>
      <c r="E19" s="4" t="str">
        <f t="shared" si="30"/>
        <v>تقاضا متوسط</v>
      </c>
      <c r="F19" s="4" t="str">
        <f t="shared" si="30"/>
        <v>تقاضا  کم</v>
      </c>
      <c r="G19" s="5" t="str">
        <f t="shared" si="30"/>
        <v>وضعیت بازار</v>
      </c>
      <c r="H19" s="15"/>
      <c r="I19" s="3" t="str">
        <f t="shared" ref="I19:L26" si="31">D1</f>
        <v>تقاضا زیاد</v>
      </c>
      <c r="J19" s="4" t="str">
        <f t="shared" si="31"/>
        <v>تقاضا متوسط</v>
      </c>
      <c r="K19" s="4" t="str">
        <f t="shared" si="31"/>
        <v>تقاضا  کم</v>
      </c>
      <c r="L19" s="5" t="str">
        <f t="shared" si="31"/>
        <v>وضعیت بازار</v>
      </c>
      <c r="M19" s="15"/>
      <c r="N19" s="16"/>
      <c r="V19" s="73"/>
      <c r="W19" s="89"/>
      <c r="X19" s="15"/>
      <c r="Y19" s="15"/>
      <c r="Z19" s="3" t="str">
        <f t="shared" ref="Z19:AC19" si="32">Z1</f>
        <v>تقاضا زیاد</v>
      </c>
      <c r="AA19" s="4" t="str">
        <f t="shared" si="32"/>
        <v>تقاضا متوسط</v>
      </c>
      <c r="AB19" s="4" t="str">
        <f t="shared" si="32"/>
        <v>تقاضا  کم</v>
      </c>
      <c r="AC19" s="5" t="str">
        <f t="shared" si="32"/>
        <v>وضعیت بازار</v>
      </c>
      <c r="AD19" s="15"/>
      <c r="AE19" s="3" t="str">
        <f t="shared" ref="AE19:AE26" si="33">Z1</f>
        <v>تقاضا زیاد</v>
      </c>
      <c r="AF19" s="4" t="str">
        <f t="shared" ref="AF19:AF26" si="34">AA1</f>
        <v>تقاضا متوسط</v>
      </c>
      <c r="AG19" s="4" t="str">
        <f t="shared" ref="AG19:AG26" si="35">AB1</f>
        <v>تقاضا  کم</v>
      </c>
      <c r="AH19" s="5" t="str">
        <f t="shared" ref="AH19:AH26" si="36">AC1</f>
        <v>وضعیت بازار</v>
      </c>
      <c r="AI19" s="15"/>
      <c r="AJ19" s="16"/>
      <c r="AR19" s="73"/>
    </row>
    <row r="20" spans="1:50" x14ac:dyDescent="0.3">
      <c r="A20" s="88"/>
      <c r="B20" s="65"/>
      <c r="C20" s="65"/>
      <c r="D20" s="6">
        <f t="shared" si="30"/>
        <v>0.24</v>
      </c>
      <c r="E20" s="7">
        <f t="shared" si="30"/>
        <v>0.44999999999999996</v>
      </c>
      <c r="F20" s="7">
        <f t="shared" si="30"/>
        <v>0.31000000000000005</v>
      </c>
      <c r="G20" s="8" t="str">
        <f t="shared" si="30"/>
        <v>احتمال وقوع</v>
      </c>
      <c r="H20" s="65"/>
      <c r="I20" s="6">
        <f t="shared" si="31"/>
        <v>0.24</v>
      </c>
      <c r="J20" s="7">
        <f t="shared" si="31"/>
        <v>0.44999999999999996</v>
      </c>
      <c r="K20" s="7">
        <f t="shared" si="31"/>
        <v>0.31000000000000005</v>
      </c>
      <c r="L20" s="8" t="str">
        <f t="shared" si="31"/>
        <v>احتمال وقوع</v>
      </c>
      <c r="M20" s="65"/>
      <c r="N20" s="20"/>
      <c r="V20" s="73"/>
      <c r="W20" s="88"/>
      <c r="X20" s="65"/>
      <c r="Y20" s="65"/>
      <c r="Z20" s="6">
        <f t="shared" ref="Z20:AC20" si="37">Z2</f>
        <v>0.24</v>
      </c>
      <c r="AA20" s="7">
        <f t="shared" si="37"/>
        <v>0.44999999999999996</v>
      </c>
      <c r="AB20" s="7">
        <f t="shared" si="37"/>
        <v>0.31000000000000005</v>
      </c>
      <c r="AC20" s="8" t="str">
        <f t="shared" si="37"/>
        <v>احتمال وقوع</v>
      </c>
      <c r="AD20" s="65"/>
      <c r="AE20" s="6">
        <f t="shared" si="33"/>
        <v>0.24</v>
      </c>
      <c r="AF20" s="7">
        <f t="shared" si="34"/>
        <v>0.44999999999999996</v>
      </c>
      <c r="AG20" s="7">
        <f t="shared" si="35"/>
        <v>0.31000000000000005</v>
      </c>
      <c r="AH20" s="8" t="str">
        <f t="shared" si="36"/>
        <v>احتمال وقوع</v>
      </c>
      <c r="AI20" s="65"/>
      <c r="AJ20" s="20"/>
      <c r="AR20" s="73"/>
    </row>
    <row r="21" spans="1:50" x14ac:dyDescent="0.3">
      <c r="A21" s="88" t="s">
        <v>17</v>
      </c>
      <c r="B21" s="65"/>
      <c r="C21" s="65"/>
      <c r="D21" s="9">
        <f t="shared" si="30"/>
        <v>2100</v>
      </c>
      <c r="E21" s="9">
        <f t="shared" si="30"/>
        <v>1500</v>
      </c>
      <c r="F21" s="9">
        <f t="shared" si="30"/>
        <v>1050</v>
      </c>
      <c r="G21" s="8" t="str">
        <f t="shared" si="30"/>
        <v>محصول نوع 1</v>
      </c>
      <c r="H21" s="65"/>
      <c r="I21" s="9">
        <f t="shared" si="31"/>
        <v>2100</v>
      </c>
      <c r="J21" s="10">
        <f t="shared" si="31"/>
        <v>1500</v>
      </c>
      <c r="K21" s="10">
        <f t="shared" si="31"/>
        <v>1050</v>
      </c>
      <c r="L21" s="8" t="str">
        <f t="shared" si="31"/>
        <v>محصول نوع 1</v>
      </c>
      <c r="M21" s="108" t="s">
        <v>19</v>
      </c>
      <c r="N21" s="109"/>
      <c r="V21" s="73"/>
      <c r="W21" s="88" t="s">
        <v>17</v>
      </c>
      <c r="X21" s="65"/>
      <c r="Y21" s="65"/>
      <c r="Z21" s="9">
        <f t="shared" ref="Z21:AC21" si="38">Z3</f>
        <v>2730</v>
      </c>
      <c r="AA21" s="9">
        <f t="shared" si="38"/>
        <v>1950</v>
      </c>
      <c r="AB21" s="9">
        <f t="shared" si="38"/>
        <v>1365</v>
      </c>
      <c r="AC21" s="8" t="str">
        <f t="shared" si="38"/>
        <v>محصول نوع 1</v>
      </c>
      <c r="AD21" s="65"/>
      <c r="AE21" s="9">
        <f t="shared" si="33"/>
        <v>2730</v>
      </c>
      <c r="AF21" s="10">
        <f t="shared" si="34"/>
        <v>1950</v>
      </c>
      <c r="AG21" s="10">
        <f t="shared" si="35"/>
        <v>1365</v>
      </c>
      <c r="AH21" s="8" t="str">
        <f t="shared" si="36"/>
        <v>محصول نوع 1</v>
      </c>
      <c r="AI21" s="108" t="s">
        <v>106</v>
      </c>
      <c r="AJ21" s="109"/>
      <c r="AR21" s="73"/>
    </row>
    <row r="22" spans="1:50" x14ac:dyDescent="0.3">
      <c r="A22" s="88" t="s">
        <v>18</v>
      </c>
      <c r="B22" s="65"/>
      <c r="C22" s="65"/>
      <c r="D22" s="9">
        <f t="shared" si="30"/>
        <v>2400</v>
      </c>
      <c r="E22" s="9">
        <f t="shared" si="30"/>
        <v>750</v>
      </c>
      <c r="F22" s="9">
        <f t="shared" si="30"/>
        <v>1350</v>
      </c>
      <c r="G22" s="8" t="str">
        <f t="shared" si="30"/>
        <v>محصول نوع 2</v>
      </c>
      <c r="H22" s="65"/>
      <c r="I22" s="9">
        <f t="shared" si="31"/>
        <v>2400</v>
      </c>
      <c r="J22" s="10">
        <f t="shared" si="31"/>
        <v>750</v>
      </c>
      <c r="K22" s="10">
        <f t="shared" si="31"/>
        <v>1350</v>
      </c>
      <c r="L22" s="8" t="str">
        <f t="shared" si="31"/>
        <v>محصول نوع 2</v>
      </c>
      <c r="M22" s="108"/>
      <c r="N22" s="109"/>
      <c r="V22" s="73"/>
      <c r="W22" s="88" t="s">
        <v>18</v>
      </c>
      <c r="X22" s="65"/>
      <c r="Y22" s="65"/>
      <c r="Z22" s="9">
        <f t="shared" ref="Z22:AC22" si="39">Z4</f>
        <v>3120</v>
      </c>
      <c r="AA22" s="9">
        <f t="shared" si="39"/>
        <v>975</v>
      </c>
      <c r="AB22" s="9">
        <f t="shared" si="39"/>
        <v>1755</v>
      </c>
      <c r="AC22" s="8" t="str">
        <f t="shared" si="39"/>
        <v>محصول نوع 2</v>
      </c>
      <c r="AD22" s="65"/>
      <c r="AE22" s="9">
        <f t="shared" si="33"/>
        <v>3120</v>
      </c>
      <c r="AF22" s="10">
        <f t="shared" si="34"/>
        <v>975</v>
      </c>
      <c r="AG22" s="10">
        <f t="shared" si="35"/>
        <v>1755</v>
      </c>
      <c r="AH22" s="8" t="str">
        <f t="shared" si="36"/>
        <v>محصول نوع 2</v>
      </c>
      <c r="AI22" s="108"/>
      <c r="AJ22" s="109"/>
      <c r="AR22" s="73"/>
    </row>
    <row r="23" spans="1:50" x14ac:dyDescent="0.3">
      <c r="A23" s="88"/>
      <c r="B23" s="65"/>
      <c r="C23" s="65"/>
      <c r="D23" s="9">
        <f t="shared" si="30"/>
        <v>2850</v>
      </c>
      <c r="E23" s="9">
        <f t="shared" si="30"/>
        <v>1500</v>
      </c>
      <c r="F23" s="9">
        <f t="shared" si="30"/>
        <v>1650</v>
      </c>
      <c r="G23" s="8" t="str">
        <f t="shared" si="30"/>
        <v>محصول نوع 3</v>
      </c>
      <c r="H23" s="65"/>
      <c r="I23" s="49">
        <f t="shared" si="31"/>
        <v>2850</v>
      </c>
      <c r="J23" s="50">
        <f t="shared" si="31"/>
        <v>1500</v>
      </c>
      <c r="K23" s="50">
        <f t="shared" si="31"/>
        <v>1650</v>
      </c>
      <c r="L23" s="53" t="str">
        <f t="shared" si="31"/>
        <v>محصول نوع 3</v>
      </c>
      <c r="M23" s="65"/>
      <c r="N23" s="20"/>
      <c r="V23" s="73"/>
      <c r="W23" s="88"/>
      <c r="X23" s="65"/>
      <c r="Y23" s="65"/>
      <c r="Z23" s="9">
        <f t="shared" ref="Z23:AC23" si="40">Z5</f>
        <v>3705</v>
      </c>
      <c r="AA23" s="9">
        <f t="shared" si="40"/>
        <v>1950</v>
      </c>
      <c r="AB23" s="9">
        <f t="shared" si="40"/>
        <v>2145</v>
      </c>
      <c r="AC23" s="8" t="str">
        <f t="shared" si="40"/>
        <v>محصول نوع 3</v>
      </c>
      <c r="AD23" s="65"/>
      <c r="AE23" s="49">
        <f t="shared" si="33"/>
        <v>3705</v>
      </c>
      <c r="AF23" s="50">
        <f t="shared" si="34"/>
        <v>1950</v>
      </c>
      <c r="AG23" s="50">
        <f t="shared" si="35"/>
        <v>2145</v>
      </c>
      <c r="AH23" s="53" t="str">
        <f t="shared" si="36"/>
        <v>محصول نوع 3</v>
      </c>
      <c r="AI23" s="65"/>
      <c r="AJ23" s="20"/>
      <c r="AR23" s="73"/>
    </row>
    <row r="24" spans="1:50" x14ac:dyDescent="0.3">
      <c r="A24" s="88"/>
      <c r="B24" s="65"/>
      <c r="C24" s="65"/>
      <c r="D24" s="9">
        <f t="shared" si="30"/>
        <v>1800</v>
      </c>
      <c r="E24" s="9">
        <f t="shared" si="30"/>
        <v>750</v>
      </c>
      <c r="F24" s="9">
        <f t="shared" si="30"/>
        <v>1200</v>
      </c>
      <c r="G24" s="8" t="str">
        <f t="shared" si="30"/>
        <v>محصول نوع 4</v>
      </c>
      <c r="H24" s="65"/>
      <c r="I24" s="9">
        <f t="shared" si="31"/>
        <v>1800</v>
      </c>
      <c r="J24" s="10">
        <f t="shared" si="31"/>
        <v>750</v>
      </c>
      <c r="K24" s="10">
        <f t="shared" si="31"/>
        <v>1200</v>
      </c>
      <c r="L24" s="8" t="str">
        <f t="shared" si="31"/>
        <v>محصول نوع 4</v>
      </c>
      <c r="M24" s="65"/>
      <c r="N24" s="20"/>
      <c r="V24" s="73"/>
      <c r="W24" s="88"/>
      <c r="X24" s="65"/>
      <c r="Y24" s="65"/>
      <c r="Z24" s="9">
        <f t="shared" ref="Z24:AC24" si="41">Z6</f>
        <v>1260</v>
      </c>
      <c r="AA24" s="9">
        <f t="shared" si="41"/>
        <v>525</v>
      </c>
      <c r="AB24" s="9">
        <f t="shared" si="41"/>
        <v>840</v>
      </c>
      <c r="AC24" s="8" t="str">
        <f t="shared" si="41"/>
        <v>محصول نوع 4</v>
      </c>
      <c r="AD24" s="65"/>
      <c r="AE24" s="9">
        <f t="shared" si="33"/>
        <v>1260</v>
      </c>
      <c r="AF24" s="10">
        <f t="shared" si="34"/>
        <v>525</v>
      </c>
      <c r="AG24" s="10">
        <f t="shared" si="35"/>
        <v>840</v>
      </c>
      <c r="AH24" s="8" t="str">
        <f t="shared" si="36"/>
        <v>محصول نوع 4</v>
      </c>
      <c r="AI24" s="65"/>
      <c r="AJ24" s="20"/>
      <c r="AR24" s="73"/>
    </row>
    <row r="25" spans="1:50" x14ac:dyDescent="0.3">
      <c r="A25" s="88"/>
      <c r="B25" s="65"/>
      <c r="C25" s="65"/>
      <c r="D25" s="9">
        <f t="shared" si="30"/>
        <v>2700</v>
      </c>
      <c r="E25" s="9">
        <f t="shared" si="30"/>
        <v>1125</v>
      </c>
      <c r="F25" s="9">
        <f t="shared" si="30"/>
        <v>1500</v>
      </c>
      <c r="G25" s="8" t="str">
        <f t="shared" si="30"/>
        <v>محصول نوع 5</v>
      </c>
      <c r="H25" s="65"/>
      <c r="I25" s="9">
        <f t="shared" si="31"/>
        <v>2700</v>
      </c>
      <c r="J25" s="10">
        <f t="shared" si="31"/>
        <v>1125</v>
      </c>
      <c r="K25" s="10">
        <f t="shared" si="31"/>
        <v>1500</v>
      </c>
      <c r="L25" s="8" t="str">
        <f t="shared" si="31"/>
        <v>محصول نوع 5</v>
      </c>
      <c r="M25" s="65"/>
      <c r="N25" s="20"/>
      <c r="V25" s="73"/>
      <c r="W25" s="88"/>
      <c r="X25" s="65"/>
      <c r="Y25" s="65"/>
      <c r="Z25" s="9">
        <f t="shared" ref="Z25:AC25" si="42">Z7</f>
        <v>1889.9999999999998</v>
      </c>
      <c r="AA25" s="9">
        <f t="shared" si="42"/>
        <v>787.5</v>
      </c>
      <c r="AB25" s="9">
        <f t="shared" si="42"/>
        <v>1050</v>
      </c>
      <c r="AC25" s="8" t="str">
        <f t="shared" si="42"/>
        <v>محصول نوع 5</v>
      </c>
      <c r="AD25" s="65"/>
      <c r="AE25" s="9">
        <f t="shared" si="33"/>
        <v>1889.9999999999998</v>
      </c>
      <c r="AF25" s="10">
        <f t="shared" si="34"/>
        <v>787.5</v>
      </c>
      <c r="AG25" s="10">
        <f t="shared" si="35"/>
        <v>1050</v>
      </c>
      <c r="AH25" s="8" t="str">
        <f t="shared" si="36"/>
        <v>محصول نوع 5</v>
      </c>
      <c r="AI25" s="65"/>
      <c r="AJ25" s="20"/>
      <c r="AR25" s="73"/>
    </row>
    <row r="26" spans="1:50" ht="15" thickBot="1" x14ac:dyDescent="0.35">
      <c r="A26" s="90"/>
      <c r="B26" s="24"/>
      <c r="C26" s="24"/>
      <c r="D26" s="9">
        <f t="shared" si="30"/>
        <v>2850</v>
      </c>
      <c r="E26" s="9">
        <f t="shared" si="30"/>
        <v>1500</v>
      </c>
      <c r="F26" s="9">
        <f t="shared" si="30"/>
        <v>1800</v>
      </c>
      <c r="G26" s="13" t="str">
        <f t="shared" si="30"/>
        <v>محصول نوع 6</v>
      </c>
      <c r="H26" s="24"/>
      <c r="I26" s="47">
        <f t="shared" si="31"/>
        <v>2850</v>
      </c>
      <c r="J26" s="48">
        <f t="shared" si="31"/>
        <v>1500</v>
      </c>
      <c r="K26" s="48">
        <f t="shared" si="31"/>
        <v>1800</v>
      </c>
      <c r="L26" s="54" t="str">
        <f t="shared" si="31"/>
        <v>محصول نوع 6</v>
      </c>
      <c r="M26" s="24"/>
      <c r="N26" s="28"/>
      <c r="V26" s="73"/>
      <c r="W26" s="90"/>
      <c r="X26" s="24"/>
      <c r="Y26" s="24"/>
      <c r="Z26" s="9">
        <f t="shared" ref="Z26:AC26" si="43">Z8</f>
        <v>1994.9999999999998</v>
      </c>
      <c r="AA26" s="9">
        <f t="shared" si="43"/>
        <v>1050</v>
      </c>
      <c r="AB26" s="9">
        <f t="shared" si="43"/>
        <v>1260</v>
      </c>
      <c r="AC26" s="13" t="str">
        <f t="shared" si="43"/>
        <v>محصول نوع 6</v>
      </c>
      <c r="AD26" s="24"/>
      <c r="AE26" s="25">
        <f t="shared" si="33"/>
        <v>1994.9999999999998</v>
      </c>
      <c r="AF26" s="26">
        <f t="shared" si="34"/>
        <v>1050</v>
      </c>
      <c r="AG26" s="26">
        <f t="shared" si="35"/>
        <v>1260</v>
      </c>
      <c r="AH26" s="13" t="str">
        <f t="shared" si="36"/>
        <v>محصول نوع 6</v>
      </c>
      <c r="AI26" s="24"/>
      <c r="AJ26" s="28"/>
      <c r="AR26" s="73"/>
    </row>
    <row r="27" spans="1:50" ht="15" thickBot="1" x14ac:dyDescent="0.35">
      <c r="A27" s="88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V27" s="73"/>
      <c r="W27" s="88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R27" s="73"/>
    </row>
    <row r="28" spans="1:50" x14ac:dyDescent="0.3">
      <c r="A28" s="91"/>
      <c r="B28" s="66"/>
      <c r="C28" s="66"/>
      <c r="D28" s="66"/>
      <c r="E28" s="66"/>
      <c r="F28" s="105" t="s">
        <v>69</v>
      </c>
      <c r="G28" s="105"/>
      <c r="H28" s="67"/>
      <c r="I28" s="15"/>
      <c r="J28" s="15"/>
      <c r="K28" s="15"/>
      <c r="L28" s="15"/>
      <c r="M28" s="15"/>
      <c r="N28" s="16"/>
      <c r="V28" s="73"/>
      <c r="W28" s="91"/>
      <c r="X28" s="66"/>
      <c r="Y28" s="66"/>
      <c r="Z28" s="66"/>
      <c r="AA28" s="66"/>
      <c r="AB28" s="105" t="s">
        <v>69</v>
      </c>
      <c r="AC28" s="105"/>
      <c r="AD28" s="67"/>
      <c r="AE28" s="15"/>
      <c r="AF28" s="15"/>
      <c r="AG28" s="15"/>
      <c r="AH28" s="15"/>
      <c r="AI28" s="15"/>
      <c r="AJ28" s="16"/>
      <c r="AR28" s="73"/>
    </row>
    <row r="29" spans="1:50" x14ac:dyDescent="0.3">
      <c r="A29" s="92"/>
      <c r="B29" s="68"/>
      <c r="C29" s="68"/>
      <c r="D29" s="68"/>
      <c r="E29" s="68"/>
      <c r="F29" s="69">
        <v>0.7</v>
      </c>
      <c r="G29" s="69">
        <v>0.2</v>
      </c>
      <c r="H29" s="70" t="s">
        <v>70</v>
      </c>
      <c r="I29" s="65"/>
      <c r="J29" s="65"/>
      <c r="K29" s="65"/>
      <c r="L29" s="65"/>
      <c r="M29" s="65"/>
      <c r="N29" s="20"/>
      <c r="V29" s="73"/>
      <c r="W29" s="92"/>
      <c r="X29" s="68"/>
      <c r="Y29" s="68"/>
      <c r="Z29" s="68"/>
      <c r="AA29" s="68"/>
      <c r="AB29" s="69">
        <v>0.7</v>
      </c>
      <c r="AC29" s="69">
        <v>0.2</v>
      </c>
      <c r="AD29" s="70" t="s">
        <v>70</v>
      </c>
      <c r="AE29" s="65"/>
      <c r="AF29" s="65"/>
      <c r="AG29" s="65"/>
      <c r="AH29" s="65"/>
      <c r="AI29" s="65"/>
      <c r="AJ29" s="20"/>
      <c r="AR29" s="73"/>
    </row>
    <row r="30" spans="1:50" x14ac:dyDescent="0.3">
      <c r="A30" s="88" t="s">
        <v>20</v>
      </c>
      <c r="B30" s="68"/>
      <c r="C30" s="68"/>
      <c r="D30" s="68"/>
      <c r="E30" s="68"/>
      <c r="F30" s="69">
        <f>$F$29*MAX(D3:F3)+(1-$F$29)*MIN(D3:F3)</f>
        <v>1785</v>
      </c>
      <c r="G30" s="69">
        <f>$G$29*MAX(D3:F3)+(1-$G$29)*MIN(D3:F3)</f>
        <v>1260</v>
      </c>
      <c r="H30" s="23" t="s">
        <v>8</v>
      </c>
      <c r="I30" s="65"/>
      <c r="J30" s="65"/>
      <c r="K30" s="108" t="s">
        <v>19</v>
      </c>
      <c r="L30" s="109"/>
      <c r="M30" s="65"/>
      <c r="N30" s="20"/>
      <c r="V30" s="73"/>
      <c r="W30" s="88" t="s">
        <v>20</v>
      </c>
      <c r="X30" s="68"/>
      <c r="Y30" s="68"/>
      <c r="Z30" s="68"/>
      <c r="AA30" s="68"/>
      <c r="AB30" s="69">
        <f>$F$29*MAX(Z3:AB3)+(1-$F$29)*MIN(Z3:AB3)</f>
        <v>2320.5</v>
      </c>
      <c r="AC30" s="69">
        <f>$G$29*MAX(Z3:AB3)+(1-$G$29)*MIN(Z3:AB3)</f>
        <v>1638</v>
      </c>
      <c r="AD30" s="23" t="s">
        <v>8</v>
      </c>
      <c r="AE30" s="65"/>
      <c r="AF30" s="65"/>
      <c r="AG30" s="65"/>
      <c r="AH30" s="65"/>
      <c r="AI30" s="65"/>
      <c r="AJ30" s="20"/>
      <c r="AR30" s="73"/>
    </row>
    <row r="31" spans="1:50" ht="14.4" customHeight="1" x14ac:dyDescent="0.3">
      <c r="A31" s="92"/>
      <c r="B31" s="68"/>
      <c r="C31" s="68"/>
      <c r="D31" s="68"/>
      <c r="E31" s="68"/>
      <c r="F31" s="69">
        <f t="shared" ref="F31:F35" si="44">$F$29*MAX(D4:F4)+(1-$F$29)*MIN(D4:F4)</f>
        <v>1905</v>
      </c>
      <c r="G31" s="69">
        <f t="shared" ref="G31:G35" si="45">$G$29*MAX(D4:F4)+(1-$G$29)*MIN(D4:F4)</f>
        <v>1080</v>
      </c>
      <c r="H31" s="23" t="s">
        <v>9</v>
      </c>
      <c r="I31" s="65"/>
      <c r="J31" s="65"/>
      <c r="K31" s="108"/>
      <c r="L31" s="109"/>
      <c r="M31" s="65"/>
      <c r="N31" s="20"/>
      <c r="V31" s="73"/>
      <c r="W31" s="92"/>
      <c r="X31" s="68"/>
      <c r="Y31" s="68"/>
      <c r="Z31" s="68"/>
      <c r="AA31" s="68"/>
      <c r="AB31" s="69">
        <f t="shared" ref="AB31:AB35" si="46">$F$29*MAX(Z4:AB4)+(1-$F$29)*MIN(Z4:AB4)</f>
        <v>2476.5</v>
      </c>
      <c r="AC31" s="69">
        <f t="shared" ref="AC31:AC35" si="47">$G$29*MAX(Z4:AB4)+(1-$G$29)*MIN(Z4:AB4)</f>
        <v>1404</v>
      </c>
      <c r="AD31" s="23" t="s">
        <v>9</v>
      </c>
      <c r="AE31" s="65"/>
      <c r="AF31" s="65"/>
      <c r="AG31" s="108" t="s">
        <v>106</v>
      </c>
      <c r="AH31" s="109"/>
      <c r="AI31" s="65"/>
      <c r="AJ31" s="20"/>
      <c r="AR31" s="73"/>
    </row>
    <row r="32" spans="1:50" x14ac:dyDescent="0.3">
      <c r="A32" s="92"/>
      <c r="B32" s="68"/>
      <c r="C32" s="68"/>
      <c r="D32" s="68"/>
      <c r="E32" s="68"/>
      <c r="F32" s="69">
        <f t="shared" si="44"/>
        <v>2445</v>
      </c>
      <c r="G32" s="69">
        <f t="shared" si="45"/>
        <v>1770</v>
      </c>
      <c r="H32" s="23" t="s">
        <v>10</v>
      </c>
      <c r="I32" s="65"/>
      <c r="J32" s="65"/>
      <c r="K32" s="65"/>
      <c r="L32" s="65"/>
      <c r="M32" s="65"/>
      <c r="N32" s="20"/>
      <c r="V32" s="73"/>
      <c r="W32" s="92"/>
      <c r="X32" s="68"/>
      <c r="Y32" s="68"/>
      <c r="Z32" s="68"/>
      <c r="AA32" s="68"/>
      <c r="AB32" s="69">
        <f t="shared" si="46"/>
        <v>3178.5</v>
      </c>
      <c r="AC32" s="69">
        <f t="shared" si="47"/>
        <v>2301</v>
      </c>
      <c r="AD32" s="23" t="s">
        <v>10</v>
      </c>
      <c r="AE32" s="65"/>
      <c r="AF32" s="65"/>
      <c r="AG32" s="108"/>
      <c r="AH32" s="109"/>
      <c r="AI32" s="65"/>
      <c r="AJ32" s="20"/>
      <c r="AR32" s="73"/>
    </row>
    <row r="33" spans="1:44" x14ac:dyDescent="0.3">
      <c r="A33" s="92"/>
      <c r="B33" s="68"/>
      <c r="C33" s="68"/>
      <c r="D33" s="68"/>
      <c r="E33" s="68"/>
      <c r="F33" s="69">
        <f t="shared" si="44"/>
        <v>1485</v>
      </c>
      <c r="G33" s="69">
        <f t="shared" si="45"/>
        <v>960</v>
      </c>
      <c r="H33" s="23" t="s">
        <v>11</v>
      </c>
      <c r="I33" s="65"/>
      <c r="J33" s="65"/>
      <c r="K33" s="65"/>
      <c r="L33" s="65"/>
      <c r="M33" s="65"/>
      <c r="N33" s="20"/>
      <c r="V33" s="73"/>
      <c r="W33" s="92"/>
      <c r="X33" s="68"/>
      <c r="Y33" s="68"/>
      <c r="Z33" s="68"/>
      <c r="AA33" s="68"/>
      <c r="AB33" s="69">
        <f t="shared" si="46"/>
        <v>1039.5</v>
      </c>
      <c r="AC33" s="69">
        <f t="shared" si="47"/>
        <v>672</v>
      </c>
      <c r="AD33" s="23" t="s">
        <v>11</v>
      </c>
      <c r="AE33" s="65"/>
      <c r="AF33" s="65"/>
      <c r="AG33" s="65"/>
      <c r="AH33" s="65"/>
      <c r="AI33" s="65"/>
      <c r="AJ33" s="20"/>
      <c r="AR33" s="73"/>
    </row>
    <row r="34" spans="1:44" x14ac:dyDescent="0.3">
      <c r="A34" s="92"/>
      <c r="B34" s="68"/>
      <c r="C34" s="68"/>
      <c r="D34" s="68"/>
      <c r="E34" s="68"/>
      <c r="F34" s="69">
        <f t="shared" si="44"/>
        <v>2227.5</v>
      </c>
      <c r="G34" s="69">
        <f t="shared" si="45"/>
        <v>1440</v>
      </c>
      <c r="H34" s="23" t="s">
        <v>12</v>
      </c>
      <c r="I34" s="65"/>
      <c r="J34" s="65"/>
      <c r="K34" s="65"/>
      <c r="L34" s="65"/>
      <c r="M34" s="65"/>
      <c r="N34" s="20"/>
      <c r="V34" s="73"/>
      <c r="W34" s="92"/>
      <c r="X34" s="68"/>
      <c r="Y34" s="68"/>
      <c r="Z34" s="68"/>
      <c r="AA34" s="68"/>
      <c r="AB34" s="69">
        <f t="shared" si="46"/>
        <v>1559.2499999999998</v>
      </c>
      <c r="AC34" s="69">
        <f t="shared" si="47"/>
        <v>1008</v>
      </c>
      <c r="AD34" s="23" t="s">
        <v>12</v>
      </c>
      <c r="AE34" s="65"/>
      <c r="AF34" s="65"/>
      <c r="AG34" s="65"/>
      <c r="AH34" s="65"/>
      <c r="AI34" s="65"/>
      <c r="AJ34" s="20"/>
      <c r="AR34" s="73"/>
    </row>
    <row r="35" spans="1:44" ht="15" thickBot="1" x14ac:dyDescent="0.35">
      <c r="A35" s="93"/>
      <c r="B35" s="71"/>
      <c r="C35" s="71"/>
      <c r="D35" s="71"/>
      <c r="E35" s="71"/>
      <c r="F35" s="72">
        <f t="shared" si="44"/>
        <v>2445</v>
      </c>
      <c r="G35" s="72">
        <f t="shared" si="45"/>
        <v>1770</v>
      </c>
      <c r="H35" s="27" t="s">
        <v>13</v>
      </c>
      <c r="I35" s="24"/>
      <c r="J35" s="24"/>
      <c r="K35" s="24"/>
      <c r="L35" s="24"/>
      <c r="M35" s="24"/>
      <c r="N35" s="28"/>
      <c r="V35" s="73"/>
      <c r="W35" s="93"/>
      <c r="X35" s="71"/>
      <c r="Y35" s="71"/>
      <c r="Z35" s="71"/>
      <c r="AA35" s="71"/>
      <c r="AB35" s="72">
        <f t="shared" si="46"/>
        <v>1711.4999999999998</v>
      </c>
      <c r="AC35" s="72">
        <f t="shared" si="47"/>
        <v>1239</v>
      </c>
      <c r="AD35" s="27" t="s">
        <v>13</v>
      </c>
      <c r="AE35" s="24"/>
      <c r="AF35" s="24"/>
      <c r="AG35" s="24"/>
      <c r="AH35" s="24"/>
      <c r="AI35" s="24"/>
      <c r="AJ35" s="28"/>
      <c r="AR35" s="73"/>
    </row>
    <row r="36" spans="1:44" ht="15" thickBot="1" x14ac:dyDescent="0.35">
      <c r="A36" s="88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V36" s="73"/>
      <c r="W36" s="88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R36" s="73"/>
    </row>
    <row r="37" spans="1:44" x14ac:dyDescent="0.3">
      <c r="A37" s="89"/>
      <c r="B37" s="15"/>
      <c r="C37" s="15"/>
      <c r="D37" s="3" t="str">
        <f t="shared" ref="D37:G44" si="48">D1</f>
        <v>تقاضا زیاد</v>
      </c>
      <c r="E37" s="4" t="str">
        <f t="shared" si="48"/>
        <v>تقاضا متوسط</v>
      </c>
      <c r="F37" s="4" t="str">
        <f t="shared" si="48"/>
        <v>تقاضا  کم</v>
      </c>
      <c r="G37" s="5" t="str">
        <f t="shared" si="48"/>
        <v>وضعیت بازار</v>
      </c>
      <c r="H37" s="15"/>
      <c r="I37" s="3" t="str">
        <f t="shared" ref="I37:L44" si="49">D1</f>
        <v>تقاضا زیاد</v>
      </c>
      <c r="J37" s="4" t="str">
        <f t="shared" si="49"/>
        <v>تقاضا متوسط</v>
      </c>
      <c r="K37" s="4" t="str">
        <f t="shared" si="49"/>
        <v>تقاضا  کم</v>
      </c>
      <c r="L37" s="5" t="str">
        <f t="shared" si="49"/>
        <v>وضعیت بازار</v>
      </c>
      <c r="M37" s="15"/>
      <c r="N37" s="16"/>
      <c r="V37" s="73"/>
      <c r="W37" s="89"/>
      <c r="X37" s="15"/>
      <c r="Y37" s="15"/>
      <c r="Z37" s="3" t="str">
        <f t="shared" ref="Z37:AC37" si="50">Z1</f>
        <v>تقاضا زیاد</v>
      </c>
      <c r="AA37" s="4" t="str">
        <f t="shared" si="50"/>
        <v>تقاضا متوسط</v>
      </c>
      <c r="AB37" s="4" t="str">
        <f t="shared" si="50"/>
        <v>تقاضا  کم</v>
      </c>
      <c r="AC37" s="5" t="str">
        <f t="shared" si="50"/>
        <v>وضعیت بازار</v>
      </c>
      <c r="AD37" s="15"/>
      <c r="AE37" s="3" t="str">
        <f t="shared" ref="AE37:AE38" si="51">Z1</f>
        <v>تقاضا زیاد</v>
      </c>
      <c r="AF37" s="4" t="str">
        <f t="shared" ref="AF37:AF38" si="52">AA1</f>
        <v>تقاضا متوسط</v>
      </c>
      <c r="AG37" s="4" t="str">
        <f t="shared" ref="AG37:AG38" si="53">AB1</f>
        <v>تقاضا  کم</v>
      </c>
      <c r="AH37" s="5" t="str">
        <f t="shared" ref="AH37:AH44" si="54">AC1</f>
        <v>وضعیت بازار</v>
      </c>
      <c r="AI37" s="15"/>
      <c r="AJ37" s="16"/>
      <c r="AR37" s="73"/>
    </row>
    <row r="38" spans="1:44" x14ac:dyDescent="0.3">
      <c r="A38" s="88"/>
      <c r="B38" s="65"/>
      <c r="C38" s="65"/>
      <c r="D38" s="6">
        <f t="shared" si="48"/>
        <v>0.24</v>
      </c>
      <c r="E38" s="7">
        <f t="shared" si="48"/>
        <v>0.44999999999999996</v>
      </c>
      <c r="F38" s="7">
        <f t="shared" si="48"/>
        <v>0.31000000000000005</v>
      </c>
      <c r="G38" s="8" t="str">
        <f t="shared" si="48"/>
        <v>احتمال وقوع</v>
      </c>
      <c r="H38" s="65"/>
      <c r="I38" s="6">
        <f t="shared" si="49"/>
        <v>0.24</v>
      </c>
      <c r="J38" s="7">
        <f t="shared" si="49"/>
        <v>0.44999999999999996</v>
      </c>
      <c r="K38" s="7">
        <f t="shared" si="49"/>
        <v>0.31000000000000005</v>
      </c>
      <c r="L38" s="8" t="str">
        <f t="shared" si="49"/>
        <v>احتمال وقوع</v>
      </c>
      <c r="M38" s="65"/>
      <c r="N38" s="20"/>
      <c r="V38" s="73"/>
      <c r="W38" s="88"/>
      <c r="X38" s="65"/>
      <c r="Y38" s="65"/>
      <c r="Z38" s="6">
        <f t="shared" ref="Z38:AC38" si="55">Z2</f>
        <v>0.24</v>
      </c>
      <c r="AA38" s="7">
        <f t="shared" si="55"/>
        <v>0.44999999999999996</v>
      </c>
      <c r="AB38" s="7">
        <f t="shared" si="55"/>
        <v>0.31000000000000005</v>
      </c>
      <c r="AC38" s="8" t="str">
        <f t="shared" si="55"/>
        <v>احتمال وقوع</v>
      </c>
      <c r="AD38" s="65"/>
      <c r="AE38" s="6">
        <f t="shared" si="51"/>
        <v>0.24</v>
      </c>
      <c r="AF38" s="7">
        <f t="shared" si="52"/>
        <v>0.44999999999999996</v>
      </c>
      <c r="AG38" s="7">
        <f t="shared" si="53"/>
        <v>0.31000000000000005</v>
      </c>
      <c r="AH38" s="8" t="str">
        <f t="shared" si="54"/>
        <v>احتمال وقوع</v>
      </c>
      <c r="AI38" s="65"/>
      <c r="AJ38" s="20"/>
      <c r="AR38" s="73"/>
    </row>
    <row r="39" spans="1:44" x14ac:dyDescent="0.3">
      <c r="A39" s="88" t="s">
        <v>21</v>
      </c>
      <c r="B39" s="65"/>
      <c r="C39" s="65"/>
      <c r="D39" s="9">
        <f>ABS(D3-$D$45)</f>
        <v>750</v>
      </c>
      <c r="E39" s="9">
        <f>ABS(E3-$E$45)</f>
        <v>0</v>
      </c>
      <c r="F39" s="9">
        <f>ABS(F3-$F$45)</f>
        <v>750</v>
      </c>
      <c r="G39" s="8" t="str">
        <f t="shared" si="48"/>
        <v>محصول نوع 1</v>
      </c>
      <c r="H39" s="65"/>
      <c r="I39" s="9">
        <f t="shared" ref="I39:K44" si="56">D39</f>
        <v>750</v>
      </c>
      <c r="J39" s="10">
        <f t="shared" si="56"/>
        <v>0</v>
      </c>
      <c r="K39" s="10">
        <f t="shared" si="56"/>
        <v>750</v>
      </c>
      <c r="L39" s="8" t="str">
        <f t="shared" si="49"/>
        <v>محصول نوع 1</v>
      </c>
      <c r="M39" s="65"/>
      <c r="N39" s="20"/>
      <c r="V39" s="73"/>
      <c r="W39" s="88" t="s">
        <v>21</v>
      </c>
      <c r="X39" s="65"/>
      <c r="Y39" s="65"/>
      <c r="Z39" s="9">
        <f>ABS(Z3-$D$45)</f>
        <v>120</v>
      </c>
      <c r="AA39" s="9">
        <f>ABS(AA3-$E$45)</f>
        <v>450</v>
      </c>
      <c r="AB39" s="9">
        <f>ABS(AB3-$F$45)</f>
        <v>435</v>
      </c>
      <c r="AC39" s="8" t="str">
        <f t="shared" ref="AC39" si="57">AC3</f>
        <v>محصول نوع 1</v>
      </c>
      <c r="AD39" s="65"/>
      <c r="AE39" s="49">
        <f t="shared" ref="AE39:AE44" si="58">Z39</f>
        <v>120</v>
      </c>
      <c r="AF39" s="50">
        <f t="shared" ref="AF39:AF44" si="59">AA39</f>
        <v>450</v>
      </c>
      <c r="AG39" s="50">
        <f t="shared" ref="AG39:AG44" si="60">AB39</f>
        <v>435</v>
      </c>
      <c r="AH39" s="53" t="str">
        <f t="shared" si="54"/>
        <v>محصول نوع 1</v>
      </c>
      <c r="AI39" s="65"/>
      <c r="AJ39" s="20"/>
      <c r="AR39" s="73"/>
    </row>
    <row r="40" spans="1:44" x14ac:dyDescent="0.3">
      <c r="A40" s="88" t="s">
        <v>22</v>
      </c>
      <c r="B40" s="65"/>
      <c r="C40" s="65"/>
      <c r="D40" s="9">
        <f>ABS(D4-$D$45)</f>
        <v>450</v>
      </c>
      <c r="E40" s="9">
        <f t="shared" ref="E40:E44" si="61">ABS(E4-$E$45)</f>
        <v>750</v>
      </c>
      <c r="F40" s="9">
        <f t="shared" ref="F40:F44" si="62">ABS(F4-$F$45)</f>
        <v>450</v>
      </c>
      <c r="G40" s="8" t="str">
        <f t="shared" si="48"/>
        <v>محصول نوع 2</v>
      </c>
      <c r="H40" s="65"/>
      <c r="I40" s="9">
        <f t="shared" si="56"/>
        <v>450</v>
      </c>
      <c r="J40" s="10">
        <f t="shared" si="56"/>
        <v>750</v>
      </c>
      <c r="K40" s="10">
        <f t="shared" si="56"/>
        <v>450</v>
      </c>
      <c r="L40" s="8" t="str">
        <f t="shared" si="49"/>
        <v>محصول نوع 2</v>
      </c>
      <c r="M40" s="108" t="s">
        <v>27</v>
      </c>
      <c r="N40" s="109"/>
      <c r="V40" s="73"/>
      <c r="W40" s="88" t="s">
        <v>22</v>
      </c>
      <c r="X40" s="65"/>
      <c r="Y40" s="65"/>
      <c r="Z40" s="9">
        <f>ABS(Z4-$D$45)</f>
        <v>270</v>
      </c>
      <c r="AA40" s="9">
        <f t="shared" ref="AA40:AA44" si="63">ABS(AA4-$E$45)</f>
        <v>525</v>
      </c>
      <c r="AB40" s="9">
        <f t="shared" ref="AB40:AB44" si="64">ABS(AB4-$F$45)</f>
        <v>45</v>
      </c>
      <c r="AC40" s="8" t="str">
        <f t="shared" ref="AC40" si="65">AC4</f>
        <v>محصول نوع 2</v>
      </c>
      <c r="AD40" s="65"/>
      <c r="AE40" s="21">
        <f t="shared" si="58"/>
        <v>270</v>
      </c>
      <c r="AF40" s="22">
        <f t="shared" si="59"/>
        <v>525</v>
      </c>
      <c r="AG40" s="22">
        <f t="shared" si="60"/>
        <v>45</v>
      </c>
      <c r="AH40" s="8" t="str">
        <f t="shared" si="54"/>
        <v>محصول نوع 2</v>
      </c>
      <c r="AI40" s="108" t="s">
        <v>107</v>
      </c>
      <c r="AJ40" s="109"/>
      <c r="AR40" s="73"/>
    </row>
    <row r="41" spans="1:44" x14ac:dyDescent="0.3">
      <c r="A41" s="88" t="s">
        <v>23</v>
      </c>
      <c r="B41" s="65"/>
      <c r="C41" s="65"/>
      <c r="D41" s="9">
        <f t="shared" ref="D41:D44" si="66">ABS(D5-$D$45)</f>
        <v>0</v>
      </c>
      <c r="E41" s="9">
        <f t="shared" si="61"/>
        <v>0</v>
      </c>
      <c r="F41" s="9">
        <f t="shared" si="62"/>
        <v>150</v>
      </c>
      <c r="G41" s="8" t="str">
        <f t="shared" si="48"/>
        <v>محصول نوع 3</v>
      </c>
      <c r="H41" s="65"/>
      <c r="I41" s="9">
        <f t="shared" si="56"/>
        <v>0</v>
      </c>
      <c r="J41" s="10">
        <f t="shared" si="56"/>
        <v>0</v>
      </c>
      <c r="K41" s="10">
        <f t="shared" si="56"/>
        <v>150</v>
      </c>
      <c r="L41" s="8" t="str">
        <f t="shared" si="49"/>
        <v>محصول نوع 3</v>
      </c>
      <c r="M41" s="108"/>
      <c r="N41" s="109"/>
      <c r="V41" s="73"/>
      <c r="W41" s="88" t="s">
        <v>23</v>
      </c>
      <c r="X41" s="65"/>
      <c r="Y41" s="65"/>
      <c r="Z41" s="9">
        <f t="shared" ref="Z41:Z44" si="67">ABS(Z5-$D$45)</f>
        <v>855</v>
      </c>
      <c r="AA41" s="9">
        <f t="shared" si="63"/>
        <v>450</v>
      </c>
      <c r="AB41" s="9">
        <f t="shared" si="64"/>
        <v>345</v>
      </c>
      <c r="AC41" s="8" t="str">
        <f t="shared" ref="AC41" si="68">AC5</f>
        <v>محصول نوع 3</v>
      </c>
      <c r="AD41" s="65"/>
      <c r="AE41" s="21">
        <f t="shared" si="58"/>
        <v>855</v>
      </c>
      <c r="AF41" s="22">
        <f t="shared" si="59"/>
        <v>450</v>
      </c>
      <c r="AG41" s="22">
        <f t="shared" si="60"/>
        <v>345</v>
      </c>
      <c r="AH41" s="8" t="str">
        <f t="shared" si="54"/>
        <v>محصول نوع 3</v>
      </c>
      <c r="AI41" s="108"/>
      <c r="AJ41" s="109"/>
      <c r="AR41" s="73"/>
    </row>
    <row r="42" spans="1:44" x14ac:dyDescent="0.3">
      <c r="A42" s="88"/>
      <c r="B42" s="65"/>
      <c r="C42" s="65"/>
      <c r="D42" s="9">
        <f t="shared" si="66"/>
        <v>1050</v>
      </c>
      <c r="E42" s="9">
        <f t="shared" si="61"/>
        <v>750</v>
      </c>
      <c r="F42" s="9">
        <f t="shared" si="62"/>
        <v>600</v>
      </c>
      <c r="G42" s="8" t="str">
        <f t="shared" si="48"/>
        <v>محصول نوع 4</v>
      </c>
      <c r="H42" s="65"/>
      <c r="I42" s="9">
        <f t="shared" si="56"/>
        <v>1050</v>
      </c>
      <c r="J42" s="10">
        <f t="shared" si="56"/>
        <v>750</v>
      </c>
      <c r="K42" s="10">
        <f t="shared" si="56"/>
        <v>600</v>
      </c>
      <c r="L42" s="8" t="str">
        <f t="shared" si="49"/>
        <v>محصول نوع 4</v>
      </c>
      <c r="M42" s="65"/>
      <c r="N42" s="20"/>
      <c r="V42" s="73"/>
      <c r="W42" s="88"/>
      <c r="X42" s="65"/>
      <c r="Y42" s="65"/>
      <c r="Z42" s="9">
        <f t="shared" si="67"/>
        <v>1590</v>
      </c>
      <c r="AA42" s="9">
        <f t="shared" si="63"/>
        <v>975</v>
      </c>
      <c r="AB42" s="9">
        <f t="shared" si="64"/>
        <v>960</v>
      </c>
      <c r="AC42" s="8" t="str">
        <f t="shared" ref="AC42" si="69">AC6</f>
        <v>محصول نوع 4</v>
      </c>
      <c r="AD42" s="65"/>
      <c r="AE42" s="21">
        <f t="shared" si="58"/>
        <v>1590</v>
      </c>
      <c r="AF42" s="22">
        <f t="shared" si="59"/>
        <v>975</v>
      </c>
      <c r="AG42" s="22">
        <f t="shared" si="60"/>
        <v>960</v>
      </c>
      <c r="AH42" s="8" t="str">
        <f t="shared" si="54"/>
        <v>محصول نوع 4</v>
      </c>
      <c r="AI42" s="65"/>
      <c r="AJ42" s="20"/>
      <c r="AR42" s="73"/>
    </row>
    <row r="43" spans="1:44" x14ac:dyDescent="0.3">
      <c r="A43" s="88"/>
      <c r="B43" s="65"/>
      <c r="C43" s="65"/>
      <c r="D43" s="9">
        <f t="shared" si="66"/>
        <v>150</v>
      </c>
      <c r="E43" s="9">
        <f t="shared" si="61"/>
        <v>375</v>
      </c>
      <c r="F43" s="9">
        <f t="shared" si="62"/>
        <v>300</v>
      </c>
      <c r="G43" s="8" t="str">
        <f t="shared" si="48"/>
        <v>محصول نوع 5</v>
      </c>
      <c r="H43" s="65"/>
      <c r="I43" s="9">
        <f t="shared" si="56"/>
        <v>150</v>
      </c>
      <c r="J43" s="10">
        <f t="shared" si="56"/>
        <v>375</v>
      </c>
      <c r="K43" s="10">
        <f t="shared" si="56"/>
        <v>300</v>
      </c>
      <c r="L43" s="8" t="str">
        <f t="shared" si="49"/>
        <v>محصول نوع 5</v>
      </c>
      <c r="M43" s="65"/>
      <c r="N43" s="20"/>
      <c r="V43" s="73"/>
      <c r="W43" s="88"/>
      <c r="X43" s="65"/>
      <c r="Y43" s="65"/>
      <c r="Z43" s="9">
        <f t="shared" si="67"/>
        <v>960.00000000000023</v>
      </c>
      <c r="AA43" s="9">
        <f t="shared" si="63"/>
        <v>712.5</v>
      </c>
      <c r="AB43" s="9">
        <f t="shared" si="64"/>
        <v>750</v>
      </c>
      <c r="AC43" s="8" t="str">
        <f t="shared" ref="AC43" si="70">AC7</f>
        <v>محصول نوع 5</v>
      </c>
      <c r="AD43" s="65"/>
      <c r="AE43" s="21">
        <f t="shared" si="58"/>
        <v>960.00000000000023</v>
      </c>
      <c r="AF43" s="22">
        <f t="shared" si="59"/>
        <v>712.5</v>
      </c>
      <c r="AG43" s="22">
        <f t="shared" si="60"/>
        <v>750</v>
      </c>
      <c r="AH43" s="8" t="str">
        <f t="shared" si="54"/>
        <v>محصول نوع 5</v>
      </c>
      <c r="AI43" s="65"/>
      <c r="AJ43" s="20"/>
      <c r="AR43" s="73"/>
    </row>
    <row r="44" spans="1:44" ht="15" thickBot="1" x14ac:dyDescent="0.35">
      <c r="A44" s="88"/>
      <c r="B44" s="65"/>
      <c r="C44" s="65"/>
      <c r="D44" s="9">
        <f t="shared" si="66"/>
        <v>0</v>
      </c>
      <c r="E44" s="9">
        <f t="shared" si="61"/>
        <v>0</v>
      </c>
      <c r="F44" s="9">
        <f t="shared" si="62"/>
        <v>0</v>
      </c>
      <c r="G44" s="13" t="str">
        <f t="shared" si="48"/>
        <v>محصول نوع 6</v>
      </c>
      <c r="H44" s="65"/>
      <c r="I44" s="47">
        <f t="shared" si="56"/>
        <v>0</v>
      </c>
      <c r="J44" s="48">
        <f t="shared" si="56"/>
        <v>0</v>
      </c>
      <c r="K44" s="48">
        <f t="shared" si="56"/>
        <v>0</v>
      </c>
      <c r="L44" s="54" t="str">
        <f t="shared" si="49"/>
        <v>محصول نوع 6</v>
      </c>
      <c r="M44" s="65"/>
      <c r="N44" s="20"/>
      <c r="V44" s="73"/>
      <c r="W44" s="88"/>
      <c r="X44" s="65"/>
      <c r="Y44" s="65"/>
      <c r="Z44" s="9">
        <f t="shared" si="67"/>
        <v>855.00000000000023</v>
      </c>
      <c r="AA44" s="9">
        <f t="shared" si="63"/>
        <v>450</v>
      </c>
      <c r="AB44" s="9">
        <f t="shared" si="64"/>
        <v>540</v>
      </c>
      <c r="AC44" s="13" t="str">
        <f t="shared" ref="AC44" si="71">AC8</f>
        <v>محصول نوع 6</v>
      </c>
      <c r="AD44" s="65"/>
      <c r="AE44" s="25">
        <f t="shared" si="58"/>
        <v>855.00000000000023</v>
      </c>
      <c r="AF44" s="26">
        <f t="shared" si="59"/>
        <v>450</v>
      </c>
      <c r="AG44" s="26">
        <f t="shared" si="60"/>
        <v>540</v>
      </c>
      <c r="AH44" s="13" t="str">
        <f t="shared" si="54"/>
        <v>محصول نوع 6</v>
      </c>
      <c r="AI44" s="65"/>
      <c r="AJ44" s="20"/>
      <c r="AR44" s="73"/>
    </row>
    <row r="45" spans="1:44" ht="15" thickBot="1" x14ac:dyDescent="0.35">
      <c r="A45" s="90"/>
      <c r="B45" s="24"/>
      <c r="C45" s="24" t="s">
        <v>24</v>
      </c>
      <c r="D45" s="24">
        <v>2850</v>
      </c>
      <c r="E45" s="24">
        <v>1500</v>
      </c>
      <c r="F45" s="24">
        <v>1800</v>
      </c>
      <c r="G45" s="24"/>
      <c r="H45" s="24"/>
      <c r="I45" s="24"/>
      <c r="J45" s="24"/>
      <c r="K45" s="24"/>
      <c r="L45" s="24"/>
      <c r="M45" s="24"/>
      <c r="N45" s="28"/>
      <c r="V45" s="73"/>
      <c r="W45" s="90"/>
      <c r="X45" s="24"/>
      <c r="Y45" s="24" t="s">
        <v>24</v>
      </c>
      <c r="Z45" s="24">
        <v>2850</v>
      </c>
      <c r="AA45" s="24">
        <v>1500</v>
      </c>
      <c r="AB45" s="24">
        <v>1800</v>
      </c>
      <c r="AC45" s="24"/>
      <c r="AD45" s="24"/>
      <c r="AE45" s="24"/>
      <c r="AF45" s="24"/>
      <c r="AG45" s="24"/>
      <c r="AH45" s="24"/>
      <c r="AI45" s="24"/>
      <c r="AJ45" s="28"/>
      <c r="AR45" s="73"/>
    </row>
    <row r="46" spans="1:44" ht="15" thickBot="1" x14ac:dyDescent="0.35">
      <c r="A46" s="88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V46" s="73"/>
      <c r="W46" s="88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R46" s="73"/>
    </row>
    <row r="47" spans="1:44" ht="15" thickBot="1" x14ac:dyDescent="0.35">
      <c r="A47" s="89"/>
      <c r="B47" s="15"/>
      <c r="C47" s="15"/>
      <c r="D47" s="31" t="str">
        <f t="shared" ref="D47:G54" si="72">D1</f>
        <v>تقاضا زیاد</v>
      </c>
      <c r="E47" s="31" t="str">
        <f t="shared" si="72"/>
        <v>تقاضا متوسط</v>
      </c>
      <c r="F47" s="31" t="str">
        <f t="shared" si="72"/>
        <v>تقاضا  کم</v>
      </c>
      <c r="G47" s="31" t="str">
        <f t="shared" si="72"/>
        <v>وضعیت بازار</v>
      </c>
      <c r="H47" s="15"/>
      <c r="I47" s="15"/>
      <c r="J47" s="15"/>
      <c r="K47" s="15"/>
      <c r="L47" s="15"/>
      <c r="M47" s="15"/>
      <c r="N47" s="16"/>
      <c r="V47" s="73"/>
      <c r="W47" s="89"/>
      <c r="X47" s="15"/>
      <c r="Y47" s="15"/>
      <c r="Z47" s="31" t="str">
        <f t="shared" ref="Z47:AC47" si="73">Z1</f>
        <v>تقاضا زیاد</v>
      </c>
      <c r="AA47" s="31" t="str">
        <f t="shared" si="73"/>
        <v>تقاضا متوسط</v>
      </c>
      <c r="AB47" s="31" t="str">
        <f t="shared" si="73"/>
        <v>تقاضا  کم</v>
      </c>
      <c r="AC47" s="31" t="str">
        <f t="shared" si="73"/>
        <v>وضعیت بازار</v>
      </c>
      <c r="AD47" s="15"/>
      <c r="AE47" s="15"/>
      <c r="AF47" s="15"/>
      <c r="AG47" s="15"/>
      <c r="AH47" s="15"/>
      <c r="AI47" s="15"/>
      <c r="AJ47" s="16"/>
      <c r="AR47" s="73"/>
    </row>
    <row r="48" spans="1:44" x14ac:dyDescent="0.3">
      <c r="A48" s="88" t="s">
        <v>26</v>
      </c>
      <c r="B48" s="65"/>
      <c r="C48" s="65"/>
      <c r="D48" s="17">
        <f t="shared" si="72"/>
        <v>0.24</v>
      </c>
      <c r="E48" s="18">
        <f t="shared" si="72"/>
        <v>0.44999999999999996</v>
      </c>
      <c r="F48" s="18">
        <f t="shared" si="72"/>
        <v>0.31000000000000005</v>
      </c>
      <c r="G48" s="76" t="str">
        <f t="shared" si="72"/>
        <v>احتمال وقوع</v>
      </c>
      <c r="H48" s="22" t="s">
        <v>26</v>
      </c>
      <c r="I48" s="65"/>
      <c r="J48" s="65"/>
      <c r="K48" s="65"/>
      <c r="L48" s="65"/>
      <c r="M48" s="65"/>
      <c r="N48" s="20"/>
      <c r="V48" s="73"/>
      <c r="W48" s="88" t="s">
        <v>26</v>
      </c>
      <c r="X48" s="65"/>
      <c r="Y48" s="65"/>
      <c r="Z48" s="17">
        <f t="shared" ref="Z48:AC48" si="74">Z2</f>
        <v>0.24</v>
      </c>
      <c r="AA48" s="18">
        <f t="shared" si="74"/>
        <v>0.44999999999999996</v>
      </c>
      <c r="AB48" s="18">
        <f t="shared" si="74"/>
        <v>0.31000000000000005</v>
      </c>
      <c r="AC48" s="76" t="str">
        <f t="shared" si="74"/>
        <v>احتمال وقوع</v>
      </c>
      <c r="AD48" s="22" t="s">
        <v>26</v>
      </c>
      <c r="AE48" s="65"/>
      <c r="AF48" s="65"/>
      <c r="AG48" s="65"/>
      <c r="AH48" s="65"/>
      <c r="AI48" s="65"/>
      <c r="AJ48" s="20"/>
      <c r="AR48" s="73"/>
    </row>
    <row r="49" spans="1:44" x14ac:dyDescent="0.3">
      <c r="A49" s="88"/>
      <c r="B49" s="65"/>
      <c r="C49" s="65"/>
      <c r="D49" s="21">
        <f t="shared" si="72"/>
        <v>2100</v>
      </c>
      <c r="E49" s="22">
        <f t="shared" si="72"/>
        <v>1500</v>
      </c>
      <c r="F49" s="22">
        <f t="shared" si="72"/>
        <v>1050</v>
      </c>
      <c r="G49" s="77" t="str">
        <f t="shared" si="72"/>
        <v>محصول نوع 1</v>
      </c>
      <c r="H49" s="22">
        <f>AVERAGE(D49:F49)</f>
        <v>1550</v>
      </c>
      <c r="I49" s="65"/>
      <c r="J49" s="65"/>
      <c r="K49" s="65"/>
      <c r="L49" s="65"/>
      <c r="M49" s="65"/>
      <c r="N49" s="20"/>
      <c r="V49" s="73"/>
      <c r="W49" s="88"/>
      <c r="X49" s="65"/>
      <c r="Y49" s="65"/>
      <c r="Z49" s="21">
        <f t="shared" ref="Z49:AC49" si="75">Z3</f>
        <v>2730</v>
      </c>
      <c r="AA49" s="22">
        <f t="shared" si="75"/>
        <v>1950</v>
      </c>
      <c r="AB49" s="22">
        <f t="shared" si="75"/>
        <v>1365</v>
      </c>
      <c r="AC49" s="77" t="str">
        <f t="shared" si="75"/>
        <v>محصول نوع 1</v>
      </c>
      <c r="AD49" s="22">
        <f>AVERAGE(Z49:AB49)</f>
        <v>2015</v>
      </c>
      <c r="AE49" s="65"/>
      <c r="AF49" s="65"/>
      <c r="AG49" s="65"/>
      <c r="AH49" s="65"/>
      <c r="AI49" s="65"/>
      <c r="AJ49" s="20"/>
      <c r="AR49" s="73"/>
    </row>
    <row r="50" spans="1:44" x14ac:dyDescent="0.3">
      <c r="A50" s="88"/>
      <c r="B50" s="65"/>
      <c r="C50" s="65"/>
      <c r="D50" s="21">
        <f t="shared" si="72"/>
        <v>2400</v>
      </c>
      <c r="E50" s="22">
        <f t="shared" si="72"/>
        <v>750</v>
      </c>
      <c r="F50" s="22">
        <f t="shared" si="72"/>
        <v>1350</v>
      </c>
      <c r="G50" s="77" t="str">
        <f t="shared" si="72"/>
        <v>محصول نوع 2</v>
      </c>
      <c r="H50" s="22">
        <f t="shared" ref="H50:H54" si="76">AVERAGE(D50:F50)</f>
        <v>1500</v>
      </c>
      <c r="I50" s="65"/>
      <c r="J50" s="65"/>
      <c r="K50" s="65" t="s">
        <v>27</v>
      </c>
      <c r="L50" s="65"/>
      <c r="M50" s="65"/>
      <c r="N50" s="20"/>
      <c r="V50" s="73"/>
      <c r="W50" s="88"/>
      <c r="X50" s="65"/>
      <c r="Y50" s="65"/>
      <c r="Z50" s="21">
        <f t="shared" ref="Z50:AC50" si="77">Z4</f>
        <v>3120</v>
      </c>
      <c r="AA50" s="22">
        <f t="shared" si="77"/>
        <v>975</v>
      </c>
      <c r="AB50" s="22">
        <f t="shared" si="77"/>
        <v>1755</v>
      </c>
      <c r="AC50" s="77" t="str">
        <f t="shared" si="77"/>
        <v>محصول نوع 2</v>
      </c>
      <c r="AD50" s="22">
        <f t="shared" ref="AD50:AD54" si="78">AVERAGE(Z50:AB50)</f>
        <v>1950</v>
      </c>
      <c r="AE50" s="65"/>
      <c r="AF50" s="65"/>
      <c r="AG50" s="65" t="s">
        <v>108</v>
      </c>
      <c r="AH50" s="65"/>
      <c r="AI50" s="65"/>
      <c r="AJ50" s="20"/>
      <c r="AR50" s="73"/>
    </row>
    <row r="51" spans="1:44" x14ac:dyDescent="0.3">
      <c r="A51" s="88"/>
      <c r="B51" s="65"/>
      <c r="C51" s="65"/>
      <c r="D51" s="21">
        <f t="shared" si="72"/>
        <v>2850</v>
      </c>
      <c r="E51" s="22">
        <f t="shared" si="72"/>
        <v>1500</v>
      </c>
      <c r="F51" s="22">
        <f t="shared" si="72"/>
        <v>1650</v>
      </c>
      <c r="G51" s="77" t="str">
        <f t="shared" si="72"/>
        <v>محصول نوع 3</v>
      </c>
      <c r="H51" s="22">
        <f t="shared" si="76"/>
        <v>2000</v>
      </c>
      <c r="I51" s="65"/>
      <c r="J51" s="65"/>
      <c r="K51" s="65"/>
      <c r="L51" s="65"/>
      <c r="M51" s="65"/>
      <c r="N51" s="20"/>
      <c r="V51" s="73"/>
      <c r="W51" s="88"/>
      <c r="X51" s="65"/>
      <c r="Y51" s="65"/>
      <c r="Z51" s="21">
        <f t="shared" ref="Z51:AC51" si="79">Z5</f>
        <v>3705</v>
      </c>
      <c r="AA51" s="22">
        <f t="shared" si="79"/>
        <v>1950</v>
      </c>
      <c r="AB51" s="22">
        <f t="shared" si="79"/>
        <v>2145</v>
      </c>
      <c r="AC51" s="77" t="str">
        <f t="shared" si="79"/>
        <v>محصول نوع 3</v>
      </c>
      <c r="AD51" s="22">
        <f t="shared" si="78"/>
        <v>2600</v>
      </c>
      <c r="AE51" s="65"/>
      <c r="AF51" s="65"/>
      <c r="AG51" s="65"/>
      <c r="AH51" s="65"/>
      <c r="AI51" s="65"/>
      <c r="AJ51" s="20"/>
      <c r="AR51" s="73"/>
    </row>
    <row r="52" spans="1:44" x14ac:dyDescent="0.3">
      <c r="A52" s="88"/>
      <c r="B52" s="65"/>
      <c r="C52" s="65"/>
      <c r="D52" s="21">
        <f t="shared" si="72"/>
        <v>1800</v>
      </c>
      <c r="E52" s="22">
        <f t="shared" si="72"/>
        <v>750</v>
      </c>
      <c r="F52" s="22">
        <f t="shared" si="72"/>
        <v>1200</v>
      </c>
      <c r="G52" s="77" t="str">
        <f t="shared" si="72"/>
        <v>محصول نوع 4</v>
      </c>
      <c r="H52" s="22">
        <f t="shared" si="76"/>
        <v>1250</v>
      </c>
      <c r="I52" s="65"/>
      <c r="J52" s="65"/>
      <c r="K52" s="65"/>
      <c r="L52" s="65"/>
      <c r="M52" s="65"/>
      <c r="N52" s="20"/>
      <c r="V52" s="73"/>
      <c r="W52" s="88"/>
      <c r="X52" s="65"/>
      <c r="Y52" s="65"/>
      <c r="Z52" s="21">
        <f t="shared" ref="Z52:AC52" si="80">Z6</f>
        <v>1260</v>
      </c>
      <c r="AA52" s="22">
        <f t="shared" si="80"/>
        <v>525</v>
      </c>
      <c r="AB52" s="22">
        <f t="shared" si="80"/>
        <v>840</v>
      </c>
      <c r="AC52" s="77" t="str">
        <f t="shared" si="80"/>
        <v>محصول نوع 4</v>
      </c>
      <c r="AD52" s="22">
        <f t="shared" si="78"/>
        <v>875</v>
      </c>
      <c r="AE52" s="65"/>
      <c r="AF52" s="65"/>
      <c r="AG52" s="65"/>
      <c r="AH52" s="65"/>
      <c r="AI52" s="65"/>
      <c r="AJ52" s="20"/>
      <c r="AR52" s="73"/>
    </row>
    <row r="53" spans="1:44" x14ac:dyDescent="0.3">
      <c r="A53" s="88"/>
      <c r="B53" s="65"/>
      <c r="C53" s="65"/>
      <c r="D53" s="21">
        <f t="shared" si="72"/>
        <v>2700</v>
      </c>
      <c r="E53" s="22">
        <f t="shared" si="72"/>
        <v>1125</v>
      </c>
      <c r="F53" s="22">
        <f t="shared" si="72"/>
        <v>1500</v>
      </c>
      <c r="G53" s="77" t="str">
        <f t="shared" si="72"/>
        <v>محصول نوع 5</v>
      </c>
      <c r="H53" s="22">
        <f t="shared" si="76"/>
        <v>1775</v>
      </c>
      <c r="I53" s="65"/>
      <c r="J53" s="65"/>
      <c r="K53" s="65"/>
      <c r="L53" s="65"/>
      <c r="M53" s="65"/>
      <c r="N53" s="20"/>
      <c r="V53" s="73"/>
      <c r="W53" s="88"/>
      <c r="X53" s="65"/>
      <c r="Y53" s="65"/>
      <c r="Z53" s="21">
        <f t="shared" ref="Z53:AC53" si="81">Z7</f>
        <v>1889.9999999999998</v>
      </c>
      <c r="AA53" s="22">
        <f t="shared" si="81"/>
        <v>787.5</v>
      </c>
      <c r="AB53" s="22">
        <f t="shared" si="81"/>
        <v>1050</v>
      </c>
      <c r="AC53" s="77" t="str">
        <f t="shared" si="81"/>
        <v>محصول نوع 5</v>
      </c>
      <c r="AD53" s="22">
        <f t="shared" si="78"/>
        <v>1242.5</v>
      </c>
      <c r="AE53" s="65"/>
      <c r="AF53" s="65"/>
      <c r="AG53" s="65"/>
      <c r="AH53" s="65"/>
      <c r="AI53" s="65"/>
      <c r="AJ53" s="20"/>
      <c r="AR53" s="73"/>
    </row>
    <row r="54" spans="1:44" ht="15" thickBot="1" x14ac:dyDescent="0.35">
      <c r="A54" s="88"/>
      <c r="B54" s="65"/>
      <c r="C54" s="65"/>
      <c r="D54" s="25">
        <f t="shared" si="72"/>
        <v>2850</v>
      </c>
      <c r="E54" s="26">
        <f t="shared" si="72"/>
        <v>1500</v>
      </c>
      <c r="F54" s="26">
        <f t="shared" si="72"/>
        <v>1800</v>
      </c>
      <c r="G54" s="78" t="str">
        <f t="shared" si="72"/>
        <v>محصول نوع 6</v>
      </c>
      <c r="H54" s="22">
        <f t="shared" si="76"/>
        <v>2050</v>
      </c>
      <c r="I54" s="65"/>
      <c r="J54" s="65"/>
      <c r="K54" s="65"/>
      <c r="L54" s="65"/>
      <c r="M54" s="65"/>
      <c r="N54" s="20"/>
      <c r="V54" s="73"/>
      <c r="W54" s="88"/>
      <c r="X54" s="65"/>
      <c r="Y54" s="65"/>
      <c r="Z54" s="25">
        <f t="shared" ref="Z54:AC54" si="82">Z8</f>
        <v>1994.9999999999998</v>
      </c>
      <c r="AA54" s="26">
        <f t="shared" si="82"/>
        <v>1050</v>
      </c>
      <c r="AB54" s="26">
        <f t="shared" si="82"/>
        <v>1260</v>
      </c>
      <c r="AC54" s="78" t="str">
        <f t="shared" si="82"/>
        <v>محصول نوع 6</v>
      </c>
      <c r="AD54" s="22">
        <f t="shared" si="78"/>
        <v>1435</v>
      </c>
      <c r="AE54" s="65"/>
      <c r="AF54" s="65"/>
      <c r="AG54" s="65"/>
      <c r="AH54" s="65"/>
      <c r="AI54" s="65"/>
      <c r="AJ54" s="20"/>
      <c r="AR54" s="73"/>
    </row>
    <row r="55" spans="1:44" ht="15" thickBot="1" x14ac:dyDescent="0.35">
      <c r="A55" s="94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6"/>
      <c r="O55" s="97"/>
      <c r="P55" s="97"/>
      <c r="Q55" s="97"/>
      <c r="R55" s="97"/>
      <c r="S55" s="97"/>
      <c r="T55" s="97"/>
      <c r="U55" s="97"/>
      <c r="V55" s="98"/>
      <c r="W55" s="94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6"/>
      <c r="AK55" s="97"/>
      <c r="AL55" s="97"/>
      <c r="AM55" s="97"/>
      <c r="AN55" s="97"/>
      <c r="AO55" s="97"/>
      <c r="AP55" s="97"/>
      <c r="AQ55" s="97"/>
      <c r="AR55" s="98"/>
    </row>
    <row r="56" spans="1:44" ht="15" thickTop="1" x14ac:dyDescent="0.3"/>
  </sheetData>
  <mergeCells count="18">
    <mergeCell ref="AW6:AW11"/>
    <mergeCell ref="AU1:AV2"/>
    <mergeCell ref="AI40:AJ41"/>
    <mergeCell ref="K30:L31"/>
    <mergeCell ref="AG31:AH32"/>
    <mergeCell ref="AQ1:AR2"/>
    <mergeCell ref="U1:V2"/>
    <mergeCell ref="M40:N41"/>
    <mergeCell ref="F28:G28"/>
    <mergeCell ref="AP10:AP11"/>
    <mergeCell ref="AI13:AJ14"/>
    <mergeCell ref="AQ13:AR14"/>
    <mergeCell ref="AI21:AJ22"/>
    <mergeCell ref="AB28:AC28"/>
    <mergeCell ref="U13:V14"/>
    <mergeCell ref="M21:N22"/>
    <mergeCell ref="T10:T11"/>
    <mergeCell ref="M13:N14"/>
  </mergeCells>
  <phoneticPr fontId="1" type="noConversion"/>
  <conditionalFormatting sqref="D12:F12">
    <cfRule type="top10" dxfId="45" priority="44" bottom="1" rank="1"/>
  </conditionalFormatting>
  <conditionalFormatting sqref="D13:F13">
    <cfRule type="top10" dxfId="44" priority="43" bottom="1" rank="1"/>
  </conditionalFormatting>
  <conditionalFormatting sqref="D14:F14">
    <cfRule type="top10" dxfId="43" priority="42" bottom="1" rank="1"/>
  </conditionalFormatting>
  <conditionalFormatting sqref="D15:F15">
    <cfRule type="top10" dxfId="42" priority="41" bottom="1" rank="1"/>
  </conditionalFormatting>
  <conditionalFormatting sqref="D16:F16">
    <cfRule type="top10" dxfId="41" priority="40" bottom="1" rank="1"/>
  </conditionalFormatting>
  <conditionalFormatting sqref="D17:F17">
    <cfRule type="top10" dxfId="40" priority="39" bottom="1" rank="1"/>
  </conditionalFormatting>
  <conditionalFormatting sqref="D21:F21">
    <cfRule type="top10" dxfId="39" priority="38" rank="1"/>
  </conditionalFormatting>
  <conditionalFormatting sqref="D22:F22">
    <cfRule type="top10" dxfId="38" priority="37" rank="1"/>
  </conditionalFormatting>
  <conditionalFormatting sqref="D23:F23">
    <cfRule type="top10" dxfId="37" priority="36" rank="1"/>
  </conditionalFormatting>
  <conditionalFormatting sqref="D24:F24">
    <cfRule type="top10" dxfId="36" priority="35" rank="1"/>
  </conditionalFormatting>
  <conditionalFormatting sqref="D25:F25">
    <cfRule type="top10" dxfId="35" priority="34" rank="1"/>
  </conditionalFormatting>
  <conditionalFormatting sqref="D26:F26">
    <cfRule type="top10" dxfId="34" priority="33" rank="1"/>
  </conditionalFormatting>
  <conditionalFormatting sqref="D39:F39">
    <cfRule type="top10" dxfId="33" priority="30" rank="1"/>
  </conditionalFormatting>
  <conditionalFormatting sqref="D40:F40">
    <cfRule type="top10" dxfId="32" priority="29" rank="1"/>
  </conditionalFormatting>
  <conditionalFormatting sqref="D41:F41">
    <cfRule type="top10" dxfId="31" priority="28" rank="1"/>
  </conditionalFormatting>
  <conditionalFormatting sqref="D42:F42">
    <cfRule type="top10" dxfId="30" priority="27" rank="1"/>
  </conditionalFormatting>
  <conditionalFormatting sqref="D43:F43">
    <cfRule type="top10" dxfId="29" priority="26" rank="1"/>
  </conditionalFormatting>
  <conditionalFormatting sqref="D44:F44">
    <cfRule type="top10" dxfId="28" priority="25" rank="1"/>
  </conditionalFormatting>
  <conditionalFormatting sqref="F30:F35">
    <cfRule type="top10" dxfId="27" priority="32" rank="1"/>
  </conditionalFormatting>
  <conditionalFormatting sqref="G30:G35">
    <cfRule type="top10" dxfId="26" priority="31" rank="1"/>
  </conditionalFormatting>
  <conditionalFormatting sqref="H49:H54">
    <cfRule type="top10" dxfId="25" priority="59" rank="1"/>
  </conditionalFormatting>
  <conditionalFormatting sqref="I12:K17">
    <cfRule type="expression" dxfId="24" priority="47">
      <formula>I12=MAX(IF((($D$12:$F$17=MIN($D12:$D17)) + ($D$12:$F$17=MIN($E12:$E17)) + ($D$12:$F$17=MIN($F12:$F17)))&gt;0, $D$12:$F$17))</formula>
    </cfRule>
  </conditionalFormatting>
  <conditionalFormatting sqref="T12:T17">
    <cfRule type="top10" dxfId="23" priority="58" rank="1"/>
  </conditionalFormatting>
  <conditionalFormatting sqref="Z12:AB12">
    <cfRule type="top10" dxfId="22" priority="21" bottom="1" rank="1"/>
  </conditionalFormatting>
  <conditionalFormatting sqref="Z13:AB13">
    <cfRule type="top10" dxfId="21" priority="20" bottom="1" rank="1"/>
  </conditionalFormatting>
  <conditionalFormatting sqref="Z14:AB14">
    <cfRule type="top10" dxfId="20" priority="19" bottom="1" rank="1"/>
  </conditionalFormatting>
  <conditionalFormatting sqref="Z15:AB15">
    <cfRule type="top10" dxfId="19" priority="18" bottom="1" rank="1"/>
  </conditionalFormatting>
  <conditionalFormatting sqref="Z16:AB16">
    <cfRule type="top10" dxfId="18" priority="17" bottom="1" rank="1"/>
  </conditionalFormatting>
  <conditionalFormatting sqref="Z17:AB17">
    <cfRule type="top10" dxfId="17" priority="16" bottom="1" rank="1"/>
  </conditionalFormatting>
  <conditionalFormatting sqref="Z21:AB21">
    <cfRule type="top10" dxfId="16" priority="15" rank="1"/>
  </conditionalFormatting>
  <conditionalFormatting sqref="Z22:AB22">
    <cfRule type="top10" dxfId="15" priority="14" rank="1"/>
  </conditionalFormatting>
  <conditionalFormatting sqref="Z23:AB23">
    <cfRule type="top10" dxfId="14" priority="13" rank="1"/>
  </conditionalFormatting>
  <conditionalFormatting sqref="Z24:AB24">
    <cfRule type="top10" dxfId="13" priority="12" rank="1"/>
  </conditionalFormatting>
  <conditionalFormatting sqref="Z25:AB25">
    <cfRule type="top10" dxfId="12" priority="11" rank="1"/>
  </conditionalFormatting>
  <conditionalFormatting sqref="Z26:AB26">
    <cfRule type="top10" dxfId="11" priority="10" rank="1"/>
  </conditionalFormatting>
  <conditionalFormatting sqref="Z39:AB39">
    <cfRule type="top10" dxfId="10" priority="7" rank="1"/>
  </conditionalFormatting>
  <conditionalFormatting sqref="Z40:AB40">
    <cfRule type="top10" dxfId="9" priority="6" rank="1"/>
  </conditionalFormatting>
  <conditionalFormatting sqref="Z41:AB41">
    <cfRule type="top10" dxfId="8" priority="5" rank="1"/>
  </conditionalFormatting>
  <conditionalFormatting sqref="Z42:AB42">
    <cfRule type="top10" dxfId="7" priority="4" rank="1"/>
  </conditionalFormatting>
  <conditionalFormatting sqref="Z43:AB43">
    <cfRule type="top10" dxfId="6" priority="3" rank="1"/>
  </conditionalFormatting>
  <conditionalFormatting sqref="Z44:AB44">
    <cfRule type="top10" dxfId="5" priority="2" rank="1"/>
  </conditionalFormatting>
  <conditionalFormatting sqref="AB30:AB35">
    <cfRule type="top10" dxfId="4" priority="9" rank="1"/>
  </conditionalFormatting>
  <conditionalFormatting sqref="AC30:AC35">
    <cfRule type="top10" dxfId="3" priority="8" rank="1"/>
  </conditionalFormatting>
  <conditionalFormatting sqref="AD49:AD54">
    <cfRule type="top10" dxfId="2" priority="24" rank="1"/>
  </conditionalFormatting>
  <conditionalFormatting sqref="AE12:AG17">
    <cfRule type="expression" dxfId="1" priority="22">
      <formula>AE12=MAX(IF((($D$12:$F$17=MIN($D12:$D17)) + ($D$12:$F$17=MIN($E12:$E17)) + ($D$12:$F$17=MIN($F12:$F17)))&gt;0, $D$12:$F$17))</formula>
    </cfRule>
  </conditionalFormatting>
  <conditionalFormatting sqref="AP12:AP17">
    <cfRule type="top10" dxfId="0" priority="23" rank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A5DE-2CA5-4CD6-A866-6239F9AB969F}">
  <dimension ref="A1:R59"/>
  <sheetViews>
    <sheetView zoomScale="77" workbookViewId="0">
      <selection activeCell="H55" sqref="H55"/>
    </sheetView>
  </sheetViews>
  <sheetFormatPr defaultRowHeight="14.4" x14ac:dyDescent="0.3"/>
  <cols>
    <col min="1" max="1" width="12.33203125" style="2" bestFit="1" customWidth="1"/>
    <col min="2" max="2" width="12.44140625" style="2" bestFit="1" customWidth="1"/>
    <col min="3" max="3" width="10.33203125" style="2" bestFit="1" customWidth="1"/>
    <col min="4" max="4" width="21.44140625" style="2" bestFit="1" customWidth="1"/>
    <col min="5" max="5" width="17.44140625" style="2" bestFit="1" customWidth="1"/>
    <col min="6" max="6" width="12.77734375" style="2" bestFit="1" customWidth="1"/>
    <col min="7" max="7" width="15.5546875" style="2" bestFit="1" customWidth="1"/>
    <col min="8" max="8" width="16.6640625" style="2" customWidth="1"/>
    <col min="9" max="16384" width="8.88671875" style="2"/>
  </cols>
  <sheetData>
    <row r="1" spans="1:18" ht="25.2" customHeight="1" x14ac:dyDescent="0.3">
      <c r="A1" s="1" t="str">
        <f>سوال1!A1</f>
        <v>شماره دانشجویی</v>
      </c>
      <c r="B1" s="1">
        <f>سوال1!B1</f>
        <v>40125003</v>
      </c>
      <c r="D1" s="3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5" t="s">
        <v>35</v>
      </c>
      <c r="K1" s="118" t="s">
        <v>121</v>
      </c>
      <c r="L1" s="119"/>
      <c r="M1" s="119"/>
      <c r="N1" s="119"/>
      <c r="O1" s="119"/>
      <c r="P1" s="119"/>
      <c r="Q1" s="119"/>
      <c r="R1" s="120"/>
    </row>
    <row r="2" spans="1:18" x14ac:dyDescent="0.3">
      <c r="A2" s="1" t="str">
        <f>سوال1!A2</f>
        <v>A</v>
      </c>
      <c r="B2" s="1">
        <f>سوال1!B2</f>
        <v>750</v>
      </c>
      <c r="D2" s="32">
        <v>7</v>
      </c>
      <c r="E2" s="33">
        <v>5</v>
      </c>
      <c r="F2" s="33">
        <v>3</v>
      </c>
      <c r="G2" s="33">
        <v>7</v>
      </c>
      <c r="H2" s="33">
        <f>4*B2</f>
        <v>3000</v>
      </c>
      <c r="I2" s="8">
        <v>1</v>
      </c>
      <c r="K2" s="121"/>
      <c r="L2" s="122"/>
      <c r="M2" s="122"/>
      <c r="N2" s="122"/>
      <c r="O2" s="122"/>
      <c r="P2" s="122"/>
      <c r="Q2" s="122"/>
      <c r="R2" s="123"/>
    </row>
    <row r="3" spans="1:18" x14ac:dyDescent="0.3">
      <c r="A3" s="1" t="str">
        <f>سوال1!A3</f>
        <v>B</v>
      </c>
      <c r="B3" s="1">
        <f>سوال1!B3</f>
        <v>300</v>
      </c>
      <c r="D3" s="32">
        <v>9</v>
      </c>
      <c r="E3" s="33">
        <v>3</v>
      </c>
      <c r="F3" s="33">
        <v>4</v>
      </c>
      <c r="G3" s="33">
        <v>3</v>
      </c>
      <c r="H3" s="33">
        <f>8*B2</f>
        <v>6000</v>
      </c>
      <c r="I3" s="8">
        <v>2</v>
      </c>
      <c r="K3" s="121"/>
      <c r="L3" s="122"/>
      <c r="M3" s="122"/>
      <c r="N3" s="122"/>
      <c r="O3" s="122"/>
      <c r="P3" s="122"/>
      <c r="Q3" s="122"/>
      <c r="R3" s="123"/>
    </row>
    <row r="4" spans="1:18" x14ac:dyDescent="0.3">
      <c r="A4" s="1" t="str">
        <f>سوال1!A4</f>
        <v>C</v>
      </c>
      <c r="B4" s="1">
        <f>سوال1!B4</f>
        <v>0.3</v>
      </c>
      <c r="D4" s="32">
        <v>4</v>
      </c>
      <c r="E4" s="33">
        <v>4</v>
      </c>
      <c r="F4" s="33">
        <v>5</v>
      </c>
      <c r="G4" s="33">
        <v>6</v>
      </c>
      <c r="H4" s="33">
        <f>9*B2</f>
        <v>6750</v>
      </c>
      <c r="I4" s="8">
        <v>3</v>
      </c>
      <c r="K4" s="121"/>
      <c r="L4" s="122"/>
      <c r="M4" s="122"/>
      <c r="N4" s="122"/>
      <c r="O4" s="122"/>
      <c r="P4" s="122"/>
      <c r="Q4" s="122"/>
      <c r="R4" s="123"/>
    </row>
    <row r="5" spans="1:18" x14ac:dyDescent="0.3">
      <c r="D5" s="32">
        <v>5</v>
      </c>
      <c r="E5" s="33">
        <v>2</v>
      </c>
      <c r="F5" s="33">
        <v>7</v>
      </c>
      <c r="G5" s="33">
        <v>9</v>
      </c>
      <c r="H5" s="33">
        <f>3*B2</f>
        <v>2250</v>
      </c>
      <c r="I5" s="8">
        <v>4</v>
      </c>
      <c r="K5" s="121"/>
      <c r="L5" s="122"/>
      <c r="M5" s="122"/>
      <c r="N5" s="122"/>
      <c r="O5" s="122"/>
      <c r="P5" s="122"/>
      <c r="Q5" s="122"/>
      <c r="R5" s="123"/>
    </row>
    <row r="6" spans="1:18" x14ac:dyDescent="0.3">
      <c r="D6" s="32">
        <v>3</v>
      </c>
      <c r="E6" s="33">
        <v>6</v>
      </c>
      <c r="F6" s="33">
        <v>3</v>
      </c>
      <c r="G6" s="33">
        <v>4</v>
      </c>
      <c r="H6" s="33">
        <f>7*B2</f>
        <v>5250</v>
      </c>
      <c r="I6" s="8">
        <v>5</v>
      </c>
      <c r="K6" s="121"/>
      <c r="L6" s="122"/>
      <c r="M6" s="122"/>
      <c r="N6" s="122"/>
      <c r="O6" s="122"/>
      <c r="P6" s="122"/>
      <c r="Q6" s="122"/>
      <c r="R6" s="123"/>
    </row>
    <row r="7" spans="1:18" ht="15" thickBot="1" x14ac:dyDescent="0.35">
      <c r="D7" s="34">
        <v>6</v>
      </c>
      <c r="E7" s="35">
        <v>4</v>
      </c>
      <c r="F7" s="35">
        <v>7</v>
      </c>
      <c r="G7" s="35">
        <v>9</v>
      </c>
      <c r="H7" s="35">
        <f>6*B2</f>
        <v>4500</v>
      </c>
      <c r="I7" s="13">
        <v>6</v>
      </c>
      <c r="K7" s="124"/>
      <c r="L7" s="125"/>
      <c r="M7" s="125"/>
      <c r="N7" s="125"/>
      <c r="O7" s="125"/>
      <c r="P7" s="125"/>
      <c r="Q7" s="125"/>
      <c r="R7" s="126"/>
    </row>
    <row r="8" spans="1:18" ht="15" thickBot="1" x14ac:dyDescent="0.35"/>
    <row r="9" spans="1:18" x14ac:dyDescent="0.3">
      <c r="A9" s="36"/>
      <c r="B9" s="37"/>
      <c r="C9" s="37"/>
      <c r="D9" s="3" t="s">
        <v>30</v>
      </c>
      <c r="E9" s="4" t="s">
        <v>31</v>
      </c>
      <c r="F9" s="4" t="s">
        <v>32</v>
      </c>
      <c r="G9" s="4" t="s">
        <v>33</v>
      </c>
      <c r="H9" s="4" t="s">
        <v>34</v>
      </c>
      <c r="I9" s="5" t="s">
        <v>35</v>
      </c>
    </row>
    <row r="10" spans="1:18" x14ac:dyDescent="0.3">
      <c r="A10" s="38"/>
      <c r="D10" s="32">
        <f>D2/SQRT(SUMSQ($D$2:$D$7))</f>
        <v>0.47628967220784019</v>
      </c>
      <c r="E10" s="33">
        <f>E2/SQRT(SUMSQ($E$2:$E$7))</f>
        <v>0.48564293117863205</v>
      </c>
      <c r="F10" s="33">
        <f>F2/SQRT(SUMSQ($F$2:$F$7))</f>
        <v>0.23942606534028665</v>
      </c>
      <c r="G10" s="33">
        <f>G2/SQRT(SUMSQ($G$2:$G$7))</f>
        <v>0.42443734381358272</v>
      </c>
      <c r="H10" s="33">
        <f>H2/SQRT(SUMSQ($H$2:$H$7))</f>
        <v>0.25048971643405982</v>
      </c>
      <c r="I10" s="8">
        <v>1</v>
      </c>
    </row>
    <row r="11" spans="1:18" x14ac:dyDescent="0.3">
      <c r="A11" s="38"/>
      <c r="B11" s="2" t="s">
        <v>36</v>
      </c>
      <c r="D11" s="32">
        <f>D3/SQRT(SUMSQ($D$2:$D$7))</f>
        <v>0.61237243569579447</v>
      </c>
      <c r="E11" s="33">
        <f t="shared" ref="E11:E15" si="0">E3/SQRT(SUMSQ($E$2:$E$7))</f>
        <v>0.29138575870717925</v>
      </c>
      <c r="F11" s="33">
        <f t="shared" ref="F11:F15" si="1">F3/SQRT(SUMSQ($F$2:$F$7))</f>
        <v>0.31923475378704885</v>
      </c>
      <c r="G11" s="33">
        <f t="shared" ref="G11:G15" si="2">G3/SQRT(SUMSQ($G$2:$G$7))</f>
        <v>0.18190171877724973</v>
      </c>
      <c r="H11" s="33">
        <f t="shared" ref="H11:H15" si="3">H3/SQRT(SUMSQ($H$2:$H$7))</f>
        <v>0.50097943286811963</v>
      </c>
      <c r="I11" s="8">
        <v>2</v>
      </c>
    </row>
    <row r="12" spans="1:18" x14ac:dyDescent="0.3">
      <c r="A12" s="38"/>
      <c r="D12" s="32">
        <f t="shared" ref="D12:D15" si="4">D4/SQRT(SUMSQ($D$2:$D$7))</f>
        <v>0.27216552697590868</v>
      </c>
      <c r="E12" s="33">
        <f t="shared" si="0"/>
        <v>0.38851434494290565</v>
      </c>
      <c r="F12" s="33">
        <f t="shared" si="1"/>
        <v>0.39904344223381105</v>
      </c>
      <c r="G12" s="33">
        <f t="shared" si="2"/>
        <v>0.36380343755449945</v>
      </c>
      <c r="H12" s="33">
        <f t="shared" si="3"/>
        <v>0.56360186197663453</v>
      </c>
      <c r="I12" s="8">
        <v>3</v>
      </c>
    </row>
    <row r="13" spans="1:18" x14ac:dyDescent="0.3">
      <c r="A13" s="38"/>
      <c r="D13" s="32">
        <f t="shared" si="4"/>
        <v>0.34020690871988585</v>
      </c>
      <c r="E13" s="33">
        <f t="shared" si="0"/>
        <v>0.19425717247145283</v>
      </c>
      <c r="F13" s="33">
        <f t="shared" si="1"/>
        <v>0.55866081912733556</v>
      </c>
      <c r="G13" s="33">
        <f t="shared" si="2"/>
        <v>0.54570515633174921</v>
      </c>
      <c r="H13" s="33">
        <f t="shared" si="3"/>
        <v>0.18786728732554486</v>
      </c>
      <c r="I13" s="8">
        <v>4</v>
      </c>
    </row>
    <row r="14" spans="1:18" x14ac:dyDescent="0.3">
      <c r="A14" s="38"/>
      <c r="D14" s="32">
        <f t="shared" si="4"/>
        <v>0.20412414523193151</v>
      </c>
      <c r="E14" s="33">
        <f t="shared" si="0"/>
        <v>0.58277151741435851</v>
      </c>
      <c r="F14" s="33">
        <f t="shared" si="1"/>
        <v>0.23942606534028665</v>
      </c>
      <c r="G14" s="33">
        <f t="shared" si="2"/>
        <v>0.24253562503633297</v>
      </c>
      <c r="H14" s="33">
        <f t="shared" si="3"/>
        <v>0.43835700375960468</v>
      </c>
      <c r="I14" s="8">
        <v>5</v>
      </c>
    </row>
    <row r="15" spans="1:18" ht="15" thickBot="1" x14ac:dyDescent="0.35">
      <c r="A15" s="38"/>
      <c r="D15" s="34">
        <f t="shared" si="4"/>
        <v>0.40824829046386302</v>
      </c>
      <c r="E15" s="35">
        <f t="shared" si="0"/>
        <v>0.38851434494290565</v>
      </c>
      <c r="F15" s="35">
        <f t="shared" si="1"/>
        <v>0.55866081912733556</v>
      </c>
      <c r="G15" s="35">
        <f t="shared" si="2"/>
        <v>0.54570515633174921</v>
      </c>
      <c r="H15" s="35">
        <f t="shared" si="3"/>
        <v>0.37573457465108973</v>
      </c>
      <c r="I15" s="13">
        <v>6</v>
      </c>
    </row>
    <row r="16" spans="1:18" ht="15" thickBot="1" x14ac:dyDescent="0.35">
      <c r="A16" s="40"/>
      <c r="B16" s="41"/>
      <c r="C16" s="41"/>
      <c r="D16" s="41"/>
      <c r="E16" s="41"/>
      <c r="F16" s="41"/>
      <c r="G16" s="41"/>
      <c r="H16" s="41"/>
      <c r="I16" s="42"/>
    </row>
    <row r="17" spans="1:9" x14ac:dyDescent="0.3">
      <c r="A17" s="36"/>
      <c r="B17" s="37"/>
      <c r="C17" s="37"/>
      <c r="D17" s="3" t="s">
        <v>30</v>
      </c>
      <c r="E17" s="4" t="s">
        <v>31</v>
      </c>
      <c r="F17" s="4" t="s">
        <v>32</v>
      </c>
      <c r="G17" s="4" t="s">
        <v>33</v>
      </c>
      <c r="H17" s="4" t="s">
        <v>34</v>
      </c>
      <c r="I17" s="5" t="s">
        <v>35</v>
      </c>
    </row>
    <row r="18" spans="1:9" x14ac:dyDescent="0.3">
      <c r="A18" s="38"/>
      <c r="D18" s="32">
        <f>D2/SUM(D$2:D$7)</f>
        <v>0.20588235294117646</v>
      </c>
      <c r="E18" s="33">
        <f>E2/SUM($E$2:$E$7)</f>
        <v>0.20833333333333334</v>
      </c>
      <c r="F18" s="33">
        <f>F2/SUM($F$2:$F$7)</f>
        <v>0.10344827586206896</v>
      </c>
      <c r="G18" s="33">
        <f>G2/SUM($G$2:$G$7)</f>
        <v>0.18421052631578946</v>
      </c>
      <c r="H18" s="33">
        <f>(1/H2)/SUMPRODUCT(1/$H$2:$H$7)</f>
        <v>0.22144112478031636</v>
      </c>
      <c r="I18" s="8">
        <v>1</v>
      </c>
    </row>
    <row r="19" spans="1:9" x14ac:dyDescent="0.3">
      <c r="A19" s="38"/>
      <c r="B19" s="2" t="s">
        <v>37</v>
      </c>
      <c r="D19" s="32">
        <f t="shared" ref="D19:D23" si="5">D3/SUM($D$2:$D$7)</f>
        <v>0.26470588235294118</v>
      </c>
      <c r="E19" s="33">
        <f t="shared" ref="E19:E23" si="6">E3/SUM($E$2:$E$7)</f>
        <v>0.125</v>
      </c>
      <c r="F19" s="33">
        <f t="shared" ref="F19:F23" si="7">F3/SUM($F$2:$F$7)</f>
        <v>0.13793103448275862</v>
      </c>
      <c r="G19" s="33">
        <f t="shared" ref="G19:G23" si="8">G3/SUM($G$2:$G$7)</f>
        <v>7.8947368421052627E-2</v>
      </c>
      <c r="H19" s="33">
        <f t="shared" ref="H19:H23" si="9">(1/H3)/SUMPRODUCT(1/$H$2:$H$7)</f>
        <v>0.11072056239015818</v>
      </c>
      <c r="I19" s="8">
        <v>2</v>
      </c>
    </row>
    <row r="20" spans="1:9" x14ac:dyDescent="0.3">
      <c r="A20" s="38"/>
      <c r="D20" s="32">
        <f t="shared" si="5"/>
        <v>0.11764705882352941</v>
      </c>
      <c r="E20" s="33">
        <f t="shared" si="6"/>
        <v>0.16666666666666666</v>
      </c>
      <c r="F20" s="33">
        <f t="shared" si="7"/>
        <v>0.17241379310344829</v>
      </c>
      <c r="G20" s="33">
        <f t="shared" si="8"/>
        <v>0.15789473684210525</v>
      </c>
      <c r="H20" s="33">
        <f t="shared" si="9"/>
        <v>9.8418277680140595E-2</v>
      </c>
      <c r="I20" s="8">
        <v>3</v>
      </c>
    </row>
    <row r="21" spans="1:9" x14ac:dyDescent="0.3">
      <c r="A21" s="38"/>
      <c r="D21" s="32">
        <f t="shared" si="5"/>
        <v>0.14705882352941177</v>
      </c>
      <c r="E21" s="33">
        <f t="shared" si="6"/>
        <v>8.3333333333333329E-2</v>
      </c>
      <c r="F21" s="33">
        <f t="shared" si="7"/>
        <v>0.2413793103448276</v>
      </c>
      <c r="G21" s="33">
        <f t="shared" si="8"/>
        <v>0.23684210526315788</v>
      </c>
      <c r="H21" s="33">
        <f t="shared" si="9"/>
        <v>0.29525483304042183</v>
      </c>
      <c r="I21" s="8">
        <v>4</v>
      </c>
    </row>
    <row r="22" spans="1:9" x14ac:dyDescent="0.3">
      <c r="A22" s="38"/>
      <c r="D22" s="32">
        <f t="shared" si="5"/>
        <v>8.8235294117647065E-2</v>
      </c>
      <c r="E22" s="33">
        <f t="shared" si="6"/>
        <v>0.25</v>
      </c>
      <c r="F22" s="33">
        <f t="shared" si="7"/>
        <v>0.10344827586206896</v>
      </c>
      <c r="G22" s="33">
        <f t="shared" si="8"/>
        <v>0.10526315789473684</v>
      </c>
      <c r="H22" s="33">
        <f t="shared" si="9"/>
        <v>0.1265377855887522</v>
      </c>
      <c r="I22" s="8">
        <v>5</v>
      </c>
    </row>
    <row r="23" spans="1:9" ht="15" thickBot="1" x14ac:dyDescent="0.35">
      <c r="A23" s="38"/>
      <c r="D23" s="34">
        <f t="shared" si="5"/>
        <v>0.17647058823529413</v>
      </c>
      <c r="E23" s="35">
        <f t="shared" si="6"/>
        <v>0.16666666666666666</v>
      </c>
      <c r="F23" s="35">
        <f t="shared" si="7"/>
        <v>0.2413793103448276</v>
      </c>
      <c r="G23" s="35">
        <f t="shared" si="8"/>
        <v>0.23684210526315788</v>
      </c>
      <c r="H23" s="35">
        <f t="shared" si="9"/>
        <v>0.14762741652021091</v>
      </c>
      <c r="I23" s="13">
        <v>6</v>
      </c>
    </row>
    <row r="24" spans="1:9" ht="15" thickBot="1" x14ac:dyDescent="0.35">
      <c r="A24" s="40"/>
      <c r="B24" s="41"/>
      <c r="C24" s="41"/>
      <c r="D24" s="41"/>
      <c r="E24" s="41"/>
      <c r="F24" s="41"/>
      <c r="G24" s="41"/>
      <c r="H24" s="41"/>
      <c r="I24" s="42"/>
    </row>
    <row r="25" spans="1:9" x14ac:dyDescent="0.3">
      <c r="A25" s="36"/>
      <c r="B25" s="37"/>
      <c r="C25" s="37"/>
      <c r="D25" s="3" t="s">
        <v>30</v>
      </c>
      <c r="E25" s="4" t="s">
        <v>31</v>
      </c>
      <c r="F25" s="4" t="s">
        <v>32</v>
      </c>
      <c r="G25" s="4" t="s">
        <v>33</v>
      </c>
      <c r="H25" s="4" t="s">
        <v>34</v>
      </c>
      <c r="I25" s="5" t="s">
        <v>35</v>
      </c>
    </row>
    <row r="26" spans="1:9" x14ac:dyDescent="0.3">
      <c r="A26" s="38"/>
      <c r="D26" s="32">
        <f>D2/MAX($D$2:$D$7)</f>
        <v>0.77777777777777779</v>
      </c>
      <c r="E26" s="33">
        <f>E2/MAX($E$2:$E$7)</f>
        <v>0.83333333333333337</v>
      </c>
      <c r="F26" s="33">
        <f>F2/MAX($F$2:$F$7)</f>
        <v>0.42857142857142855</v>
      </c>
      <c r="G26" s="33">
        <f>G2/MAX($G$2:$G$7)</f>
        <v>0.77777777777777779</v>
      </c>
      <c r="H26" s="33">
        <f>MIN($H$2:$H$7)/H2</f>
        <v>0.75</v>
      </c>
      <c r="I26" s="8">
        <v>1</v>
      </c>
    </row>
    <row r="27" spans="1:9" x14ac:dyDescent="0.3">
      <c r="A27" s="38"/>
      <c r="B27" s="2" t="s">
        <v>38</v>
      </c>
      <c r="D27" s="32">
        <f t="shared" ref="D27:D31" si="10">D3/MAX($D$2:$D$7)</f>
        <v>1</v>
      </c>
      <c r="E27" s="33">
        <f t="shared" ref="E27:E31" si="11">E3/MAX($E$2:$E$7)</f>
        <v>0.5</v>
      </c>
      <c r="F27" s="33">
        <f t="shared" ref="F27:F31" si="12">F3/MAX($F$2:$F$7)</f>
        <v>0.5714285714285714</v>
      </c>
      <c r="G27" s="33">
        <f t="shared" ref="G27:G31" si="13">G3/MAX($G$2:$G$7)</f>
        <v>0.33333333333333331</v>
      </c>
      <c r="H27" s="33">
        <f t="shared" ref="H27:H31" si="14">MIN($H$2:$H$7)/H3</f>
        <v>0.375</v>
      </c>
      <c r="I27" s="8">
        <v>2</v>
      </c>
    </row>
    <row r="28" spans="1:9" x14ac:dyDescent="0.3">
      <c r="A28" s="38"/>
      <c r="D28" s="32">
        <f t="shared" si="10"/>
        <v>0.44444444444444442</v>
      </c>
      <c r="E28" s="33">
        <f t="shared" si="11"/>
        <v>0.66666666666666663</v>
      </c>
      <c r="F28" s="33">
        <f t="shared" si="12"/>
        <v>0.7142857142857143</v>
      </c>
      <c r="G28" s="33">
        <f t="shared" si="13"/>
        <v>0.66666666666666663</v>
      </c>
      <c r="H28" s="33">
        <f t="shared" si="14"/>
        <v>0.33333333333333331</v>
      </c>
      <c r="I28" s="8">
        <v>3</v>
      </c>
    </row>
    <row r="29" spans="1:9" x14ac:dyDescent="0.3">
      <c r="A29" s="38"/>
      <c r="D29" s="32">
        <f t="shared" si="10"/>
        <v>0.55555555555555558</v>
      </c>
      <c r="E29" s="33">
        <f t="shared" si="11"/>
        <v>0.33333333333333331</v>
      </c>
      <c r="F29" s="33">
        <f t="shared" si="12"/>
        <v>1</v>
      </c>
      <c r="G29" s="33">
        <f t="shared" si="13"/>
        <v>1</v>
      </c>
      <c r="H29" s="33">
        <f t="shared" si="14"/>
        <v>1</v>
      </c>
      <c r="I29" s="8">
        <v>4</v>
      </c>
    </row>
    <row r="30" spans="1:9" x14ac:dyDescent="0.3">
      <c r="A30" s="38"/>
      <c r="D30" s="32">
        <f t="shared" si="10"/>
        <v>0.33333333333333331</v>
      </c>
      <c r="E30" s="33">
        <f t="shared" si="11"/>
        <v>1</v>
      </c>
      <c r="F30" s="33">
        <f t="shared" si="12"/>
        <v>0.42857142857142855</v>
      </c>
      <c r="G30" s="33">
        <f t="shared" si="13"/>
        <v>0.44444444444444442</v>
      </c>
      <c r="H30" s="33">
        <f t="shared" si="14"/>
        <v>0.42857142857142855</v>
      </c>
      <c r="I30" s="8">
        <v>5</v>
      </c>
    </row>
    <row r="31" spans="1:9" ht="15" thickBot="1" x14ac:dyDescent="0.35">
      <c r="A31" s="38"/>
      <c r="D31" s="34">
        <f t="shared" si="10"/>
        <v>0.66666666666666663</v>
      </c>
      <c r="E31" s="35">
        <f t="shared" si="11"/>
        <v>0.66666666666666663</v>
      </c>
      <c r="F31" s="35">
        <f t="shared" si="12"/>
        <v>1</v>
      </c>
      <c r="G31" s="35">
        <f t="shared" si="13"/>
        <v>1</v>
      </c>
      <c r="H31" s="35">
        <f t="shared" si="14"/>
        <v>0.5</v>
      </c>
      <c r="I31" s="13">
        <v>6</v>
      </c>
    </row>
    <row r="32" spans="1:9" ht="15" thickBot="1" x14ac:dyDescent="0.35">
      <c r="A32" s="40"/>
      <c r="B32" s="41"/>
      <c r="C32" s="41"/>
      <c r="D32" s="41"/>
      <c r="E32" s="41"/>
      <c r="F32" s="41"/>
      <c r="G32" s="41"/>
      <c r="H32" s="41"/>
      <c r="I32" s="42"/>
    </row>
    <row r="33" spans="1:9" x14ac:dyDescent="0.3">
      <c r="A33" s="36"/>
      <c r="B33" s="37"/>
      <c r="C33" s="37"/>
      <c r="D33" s="3" t="s">
        <v>30</v>
      </c>
      <c r="E33" s="4" t="s">
        <v>31</v>
      </c>
      <c r="F33" s="4" t="s">
        <v>32</v>
      </c>
      <c r="G33" s="4" t="s">
        <v>33</v>
      </c>
      <c r="H33" s="4" t="s">
        <v>34</v>
      </c>
      <c r="I33" s="5" t="s">
        <v>35</v>
      </c>
    </row>
    <row r="34" spans="1:9" x14ac:dyDescent="0.3">
      <c r="A34" s="38"/>
      <c r="D34" s="32">
        <f>(D2-MIN($D$2:$D$7))/(MAX($D$2:$D$7)-MIN($D$2:$D$7))</f>
        <v>0.66666666666666663</v>
      </c>
      <c r="E34" s="33">
        <f>(E2-MIN($E$2:$E$7))/(MAX($E$2:$E$7)-MIN($E$2:$E$7))</f>
        <v>0.75</v>
      </c>
      <c r="F34" s="33">
        <f>(F2-MIN($F$2:$F$7))/(MAX($F$2:$F$7)-MIN($F$2:$F$7))</f>
        <v>0</v>
      </c>
      <c r="G34" s="33">
        <f>(G2-MIN($G$2:$G$7))/(MAX($G$2:$G$7)-MIN($G$2:$G$7))</f>
        <v>0.66666666666666663</v>
      </c>
      <c r="H34" s="33">
        <f>(MAX($H$2:$H$7)-H2)/(MAX($H$2:$H$7)-MIN($H$2:$H$7))</f>
        <v>0.83333333333333337</v>
      </c>
      <c r="I34" s="8">
        <v>1</v>
      </c>
    </row>
    <row r="35" spans="1:9" x14ac:dyDescent="0.3">
      <c r="A35" s="38"/>
      <c r="B35" s="2" t="s">
        <v>39</v>
      </c>
      <c r="D35" s="32">
        <f t="shared" ref="D35:D39" si="15">(D3-MIN($D$2:$D$7))/(MAX($D$2:$D$7)-MIN($D$2:$D$7))</f>
        <v>1</v>
      </c>
      <c r="E35" s="33">
        <f t="shared" ref="E35:E39" si="16">(E3-MIN($E$2:$E$7))/(MAX($E$2:$E$7)-MIN($E$2:$E$7))</f>
        <v>0.25</v>
      </c>
      <c r="F35" s="33">
        <f t="shared" ref="F35:F39" si="17">(F3-MIN($F$2:$F$7))/(MAX($F$2:$F$7)-MIN($F$2:$F$7))</f>
        <v>0.25</v>
      </c>
      <c r="G35" s="33">
        <f t="shared" ref="G35:G39" si="18">(G3-MIN($G$2:$G$7))/(MAX($G$2:$G$7)-MIN($G$2:$G$7))</f>
        <v>0</v>
      </c>
      <c r="H35" s="33">
        <f t="shared" ref="H35:H39" si="19">(MAX($H$2:$H$7)-H3)/(MAX($H$2:$H$7)-MIN($H$2:$H$7))</f>
        <v>0.16666666666666666</v>
      </c>
      <c r="I35" s="8">
        <v>2</v>
      </c>
    </row>
    <row r="36" spans="1:9" x14ac:dyDescent="0.3">
      <c r="A36" s="38"/>
      <c r="D36" s="32">
        <f t="shared" si="15"/>
        <v>0.16666666666666666</v>
      </c>
      <c r="E36" s="33">
        <f t="shared" si="16"/>
        <v>0.5</v>
      </c>
      <c r="F36" s="33">
        <f t="shared" si="17"/>
        <v>0.5</v>
      </c>
      <c r="G36" s="33">
        <f t="shared" si="18"/>
        <v>0.5</v>
      </c>
      <c r="H36" s="33">
        <f t="shared" si="19"/>
        <v>0</v>
      </c>
      <c r="I36" s="8">
        <v>3</v>
      </c>
    </row>
    <row r="37" spans="1:9" x14ac:dyDescent="0.3">
      <c r="A37" s="38"/>
      <c r="D37" s="32">
        <f t="shared" si="15"/>
        <v>0.33333333333333331</v>
      </c>
      <c r="E37" s="33">
        <f t="shared" si="16"/>
        <v>0</v>
      </c>
      <c r="F37" s="33">
        <f t="shared" si="17"/>
        <v>1</v>
      </c>
      <c r="G37" s="33">
        <f t="shared" si="18"/>
        <v>1</v>
      </c>
      <c r="H37" s="33">
        <f t="shared" si="19"/>
        <v>1</v>
      </c>
      <c r="I37" s="8">
        <v>4</v>
      </c>
    </row>
    <row r="38" spans="1:9" x14ac:dyDescent="0.3">
      <c r="A38" s="38"/>
      <c r="D38" s="32">
        <f t="shared" si="15"/>
        <v>0</v>
      </c>
      <c r="E38" s="33">
        <f t="shared" si="16"/>
        <v>1</v>
      </c>
      <c r="F38" s="33">
        <f t="shared" si="17"/>
        <v>0</v>
      </c>
      <c r="G38" s="33">
        <f t="shared" si="18"/>
        <v>0.16666666666666666</v>
      </c>
      <c r="H38" s="33">
        <f t="shared" si="19"/>
        <v>0.33333333333333331</v>
      </c>
      <c r="I38" s="8">
        <v>5</v>
      </c>
    </row>
    <row r="39" spans="1:9" ht="15" thickBot="1" x14ac:dyDescent="0.35">
      <c r="A39" s="38"/>
      <c r="D39" s="34">
        <f t="shared" si="15"/>
        <v>0.5</v>
      </c>
      <c r="E39" s="35">
        <f t="shared" si="16"/>
        <v>0.5</v>
      </c>
      <c r="F39" s="35">
        <f t="shared" si="17"/>
        <v>1</v>
      </c>
      <c r="G39" s="35">
        <f t="shared" si="18"/>
        <v>1</v>
      </c>
      <c r="H39" s="35">
        <f t="shared" si="19"/>
        <v>0.5</v>
      </c>
      <c r="I39" s="13">
        <v>6</v>
      </c>
    </row>
    <row r="40" spans="1:9" ht="15" thickBot="1" x14ac:dyDescent="0.35">
      <c r="A40" s="40"/>
      <c r="B40" s="41"/>
      <c r="C40" s="41"/>
      <c r="D40" s="41"/>
      <c r="E40" s="41"/>
      <c r="F40" s="41"/>
      <c r="G40" s="41"/>
      <c r="H40" s="41"/>
      <c r="I40" s="42"/>
    </row>
    <row r="41" spans="1:9" x14ac:dyDescent="0.3">
      <c r="A41" s="36"/>
      <c r="B41" s="37"/>
      <c r="C41" s="37"/>
      <c r="D41" s="3" t="s">
        <v>30</v>
      </c>
      <c r="E41" s="4" t="s">
        <v>31</v>
      </c>
      <c r="F41" s="4" t="s">
        <v>32</v>
      </c>
      <c r="G41" s="4" t="s">
        <v>33</v>
      </c>
      <c r="H41" s="4" t="s">
        <v>34</v>
      </c>
      <c r="I41" s="5" t="s">
        <v>35</v>
      </c>
    </row>
    <row r="42" spans="1:9" x14ac:dyDescent="0.3">
      <c r="A42" s="38"/>
      <c r="D42" s="32">
        <f>(D2-$D$48)/$D$49</f>
        <v>0.6761234037828131</v>
      </c>
      <c r="E42" s="33">
        <f>(E2-$E$48)/$E$49</f>
        <v>0.7745966692414834</v>
      </c>
      <c r="F42" s="33">
        <f>(F2-$F$48)/$F$49</f>
        <v>-1.0945409092309879</v>
      </c>
      <c r="G42" s="33">
        <f>(G2-$G$48)/$G$49</f>
        <v>0.29172998299578923</v>
      </c>
      <c r="H42" s="33">
        <f>(H2-$H$48)/$H$49</f>
        <v>-1.0245435281108308</v>
      </c>
      <c r="I42" s="8">
        <v>1</v>
      </c>
    </row>
    <row r="43" spans="1:9" x14ac:dyDescent="0.3">
      <c r="A43" s="38"/>
      <c r="D43" s="32">
        <f t="shared" ref="D43:D47" si="20">(D3-$D$48)/$D$49</f>
        <v>1.6903085094570329</v>
      </c>
      <c r="E43" s="33">
        <f t="shared" ref="E43:E47" si="21">(E3-$E$48)/$E$49</f>
        <v>-0.7745966692414834</v>
      </c>
      <c r="F43" s="33">
        <f t="shared" ref="F43:F47" si="22">(F3-$F$48)/$F$49</f>
        <v>-0.49751859510499441</v>
      </c>
      <c r="G43" s="33">
        <f t="shared" ref="G43:G47" si="23">(G3-$G$48)/$G$49</f>
        <v>-1.4586499149789454</v>
      </c>
      <c r="H43" s="33">
        <f t="shared" ref="H43:H47" si="24">(H3-$H$48)/$H$49</f>
        <v>0.86692144686301076</v>
      </c>
      <c r="I43" s="8">
        <v>2</v>
      </c>
    </row>
    <row r="44" spans="1:9" x14ac:dyDescent="0.3">
      <c r="A44" s="38"/>
      <c r="B44" s="2" t="s">
        <v>42</v>
      </c>
      <c r="D44" s="32">
        <f t="shared" si="20"/>
        <v>-0.84515425472851669</v>
      </c>
      <c r="E44" s="33">
        <f t="shared" si="21"/>
        <v>0</v>
      </c>
      <c r="F44" s="33">
        <f t="shared" si="22"/>
        <v>9.9503719020999096E-2</v>
      </c>
      <c r="G44" s="33">
        <f t="shared" si="23"/>
        <v>-0.14586499149789442</v>
      </c>
      <c r="H44" s="33">
        <f t="shared" si="24"/>
        <v>1.3397876906064712</v>
      </c>
      <c r="I44" s="8">
        <v>3</v>
      </c>
    </row>
    <row r="45" spans="1:9" x14ac:dyDescent="0.3">
      <c r="A45" s="38"/>
      <c r="D45" s="32">
        <f t="shared" si="20"/>
        <v>-0.33806170189140677</v>
      </c>
      <c r="E45" s="33">
        <f t="shared" si="21"/>
        <v>-1.5491933384829668</v>
      </c>
      <c r="F45" s="33">
        <f t="shared" si="22"/>
        <v>1.2935483472729861</v>
      </c>
      <c r="G45" s="33">
        <f t="shared" si="23"/>
        <v>1.1669199319831565</v>
      </c>
      <c r="H45" s="33">
        <f t="shared" si="24"/>
        <v>-1.4974097718542914</v>
      </c>
      <c r="I45" s="8">
        <v>4</v>
      </c>
    </row>
    <row r="46" spans="1:9" x14ac:dyDescent="0.3">
      <c r="A46" s="38"/>
      <c r="D46" s="32">
        <f t="shared" si="20"/>
        <v>-1.3522468075656267</v>
      </c>
      <c r="E46" s="33">
        <f t="shared" si="21"/>
        <v>1.5491933384829668</v>
      </c>
      <c r="F46" s="33">
        <f t="shared" si="22"/>
        <v>-1.0945409092309879</v>
      </c>
      <c r="G46" s="33">
        <f t="shared" si="23"/>
        <v>-1.0210549404852616</v>
      </c>
      <c r="H46" s="33">
        <f t="shared" si="24"/>
        <v>0.39405520311955033</v>
      </c>
      <c r="I46" s="8">
        <v>5</v>
      </c>
    </row>
    <row r="47" spans="1:9" ht="15" thickBot="1" x14ac:dyDescent="0.35">
      <c r="A47" s="38"/>
      <c r="D47" s="34">
        <f t="shared" si="20"/>
        <v>0.16903085094570316</v>
      </c>
      <c r="E47" s="35">
        <f t="shared" si="21"/>
        <v>0</v>
      </c>
      <c r="F47" s="35">
        <f t="shared" si="22"/>
        <v>1.2935483472729861</v>
      </c>
      <c r="G47" s="35">
        <f t="shared" si="23"/>
        <v>1.1669199319831565</v>
      </c>
      <c r="H47" s="35">
        <f t="shared" si="24"/>
        <v>-7.8811040623910061E-2</v>
      </c>
      <c r="I47" s="13">
        <v>6</v>
      </c>
    </row>
    <row r="48" spans="1:9" x14ac:dyDescent="0.3">
      <c r="A48" s="38"/>
      <c r="C48" s="2" t="s">
        <v>40</v>
      </c>
      <c r="D48" s="2">
        <f>AVERAGE(D2:D7)</f>
        <v>5.666666666666667</v>
      </c>
      <c r="E48" s="2">
        <f t="shared" ref="E48:H48" si="25">AVERAGE(E2:E7)</f>
        <v>4</v>
      </c>
      <c r="F48" s="2">
        <f t="shared" si="25"/>
        <v>4.833333333333333</v>
      </c>
      <c r="G48" s="2">
        <f t="shared" si="25"/>
        <v>6.333333333333333</v>
      </c>
      <c r="H48" s="2">
        <f t="shared" si="25"/>
        <v>4625</v>
      </c>
      <c r="I48" s="39"/>
    </row>
    <row r="49" spans="1:9" x14ac:dyDescent="0.3">
      <c r="A49" s="38"/>
      <c r="C49" s="2" t="s">
        <v>41</v>
      </c>
      <c r="D49" s="2">
        <f>_xlfn.STDEV.P(D2:D7)</f>
        <v>1.9720265943665387</v>
      </c>
      <c r="E49" s="2">
        <f t="shared" ref="E49:H49" si="26">_xlfn.STDEV.P(E2:E7)</f>
        <v>1.2909944487358056</v>
      </c>
      <c r="F49" s="2">
        <f t="shared" si="26"/>
        <v>1.6749792701868149</v>
      </c>
      <c r="G49" s="2">
        <f t="shared" si="26"/>
        <v>2.2852182001336816</v>
      </c>
      <c r="H49" s="2">
        <f t="shared" si="26"/>
        <v>1586.07219255619</v>
      </c>
      <c r="I49" s="39"/>
    </row>
    <row r="50" spans="1:9" ht="15" thickBot="1" x14ac:dyDescent="0.35">
      <c r="A50" s="40"/>
      <c r="B50" s="41"/>
      <c r="C50" s="41"/>
      <c r="D50" s="41"/>
      <c r="E50" s="41"/>
      <c r="F50" s="41"/>
      <c r="G50" s="41"/>
      <c r="H50" s="41"/>
      <c r="I50" s="42"/>
    </row>
    <row r="51" spans="1:9" x14ac:dyDescent="0.3">
      <c r="A51" s="36"/>
      <c r="B51" s="37"/>
      <c r="C51" s="37"/>
      <c r="D51" s="3" t="s">
        <v>30</v>
      </c>
      <c r="E51" s="4" t="s">
        <v>31</v>
      </c>
      <c r="F51" s="4" t="s">
        <v>32</v>
      </c>
      <c r="G51" s="4" t="s">
        <v>33</v>
      </c>
      <c r="H51" s="4" t="s">
        <v>34</v>
      </c>
      <c r="I51" s="5" t="s">
        <v>35</v>
      </c>
    </row>
    <row r="52" spans="1:9" x14ac:dyDescent="0.3">
      <c r="A52" s="38"/>
      <c r="D52" s="32">
        <f>1-(-5+D2)/4</f>
        <v>0.5</v>
      </c>
      <c r="E52" s="33">
        <f>1-ABS($E$58-E2)/2</f>
        <v>0.5</v>
      </c>
      <c r="F52" s="33">
        <f>1-($F$58-F2)/4</f>
        <v>0</v>
      </c>
      <c r="G52" s="33">
        <f>1-($G$58-G2)/4</f>
        <v>1</v>
      </c>
      <c r="H52" s="33">
        <f>1-($H$58-H2)/($H$58-MIN(H2:H7))</f>
        <v>0.5</v>
      </c>
      <c r="I52" s="8">
        <v>1</v>
      </c>
    </row>
    <row r="53" spans="1:9" x14ac:dyDescent="0.3">
      <c r="A53" s="38"/>
      <c r="D53" s="32">
        <f>1-(-5+D3)/4</f>
        <v>0</v>
      </c>
      <c r="E53" s="33">
        <f t="shared" ref="E53:E57" si="27">1-ABS($E$58-E3)/2</f>
        <v>0.5</v>
      </c>
      <c r="F53" s="33">
        <f t="shared" ref="F53:F57" si="28">1-($F$58-F3)/4</f>
        <v>0.25</v>
      </c>
      <c r="G53" s="33">
        <f t="shared" ref="G53:G56" si="29">1-($G$58-G3)/4</f>
        <v>0</v>
      </c>
      <c r="H53" s="33">
        <f>1-(-$H$58+H3)/-($H$58-MAX(H3:H8))</f>
        <v>0.25</v>
      </c>
      <c r="I53" s="8">
        <v>2</v>
      </c>
    </row>
    <row r="54" spans="1:9" x14ac:dyDescent="0.3">
      <c r="A54" s="38"/>
      <c r="B54" s="2" t="s">
        <v>43</v>
      </c>
      <c r="D54" s="32">
        <f>1-(5-D4)/4</f>
        <v>0.75</v>
      </c>
      <c r="E54" s="33">
        <f t="shared" si="27"/>
        <v>1</v>
      </c>
      <c r="F54" s="33">
        <f t="shared" si="28"/>
        <v>0.5</v>
      </c>
      <c r="G54" s="33">
        <f t="shared" si="29"/>
        <v>0.75</v>
      </c>
      <c r="H54" s="33">
        <f>1-(-$H$58+H4)/-($H$58-MAX(H4:H9))</f>
        <v>0</v>
      </c>
      <c r="I54" s="8">
        <v>3</v>
      </c>
    </row>
    <row r="55" spans="1:9" x14ac:dyDescent="0.3">
      <c r="A55" s="38"/>
      <c r="D55" s="32">
        <f>1-(5-D5)/4</f>
        <v>1</v>
      </c>
      <c r="E55" s="33">
        <f t="shared" si="27"/>
        <v>0</v>
      </c>
      <c r="F55" s="33">
        <f t="shared" si="28"/>
        <v>1</v>
      </c>
      <c r="G55" s="33">
        <f>1-(-$G$58+G5)/2</f>
        <v>0</v>
      </c>
      <c r="H55" s="33">
        <f t="shared" ref="H55" si="30">1-($H$58-H5)/($H$58-MIN(H5:H10))</f>
        <v>0.59997327931204503</v>
      </c>
      <c r="I55" s="8">
        <v>4</v>
      </c>
    </row>
    <row r="56" spans="1:9" x14ac:dyDescent="0.3">
      <c r="A56" s="38"/>
      <c r="D56" s="32">
        <f>1-(5-D6)/4</f>
        <v>0.5</v>
      </c>
      <c r="E56" s="33">
        <f t="shared" si="27"/>
        <v>0</v>
      </c>
      <c r="F56" s="33">
        <f t="shared" si="28"/>
        <v>0</v>
      </c>
      <c r="G56" s="33">
        <f t="shared" si="29"/>
        <v>0.25</v>
      </c>
      <c r="H56" s="33">
        <f>1-(-$H$58+H6)/-($H$58-MAX(H3:H8))</f>
        <v>0.5</v>
      </c>
      <c r="I56" s="8">
        <v>5</v>
      </c>
    </row>
    <row r="57" spans="1:9" ht="15" thickBot="1" x14ac:dyDescent="0.35">
      <c r="A57" s="38"/>
      <c r="D57" s="32">
        <f>1-(-5+D7)/4</f>
        <v>0.75</v>
      </c>
      <c r="E57" s="33">
        <f t="shared" si="27"/>
        <v>1</v>
      </c>
      <c r="F57" s="33">
        <f t="shared" si="28"/>
        <v>1</v>
      </c>
      <c r="G57" s="33">
        <f>1-(-$G$58+G7)/2</f>
        <v>0</v>
      </c>
      <c r="H57" s="33">
        <f>1-(-$H$58+H7)/-($H$58-MAX(H4:H9))</f>
        <v>0.75</v>
      </c>
      <c r="I57" s="13">
        <v>6</v>
      </c>
    </row>
    <row r="58" spans="1:9" x14ac:dyDescent="0.3">
      <c r="A58" s="38"/>
      <c r="C58" s="2" t="s">
        <v>44</v>
      </c>
      <c r="D58" s="2">
        <v>5</v>
      </c>
      <c r="E58" s="2">
        <v>4</v>
      </c>
      <c r="F58" s="2">
        <v>7</v>
      </c>
      <c r="G58" s="2">
        <v>7</v>
      </c>
      <c r="H58" s="2">
        <f>5*B2</f>
        <v>3750</v>
      </c>
      <c r="I58" s="39"/>
    </row>
    <row r="59" spans="1:9" ht="15" thickBot="1" x14ac:dyDescent="0.35">
      <c r="A59" s="40"/>
      <c r="B59" s="41"/>
      <c r="C59" s="41"/>
      <c r="D59" s="41"/>
      <c r="E59" s="41"/>
      <c r="F59" s="41"/>
      <c r="G59" s="41"/>
      <c r="H59" s="41"/>
      <c r="I59" s="42"/>
    </row>
  </sheetData>
  <mergeCells count="1">
    <mergeCell ref="K1:R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B7D6-C511-4CC7-8CC2-EEBB4CE1867C}">
  <dimension ref="A1:AJ61"/>
  <sheetViews>
    <sheetView topLeftCell="A24" zoomScale="120" workbookViewId="0">
      <selection activeCell="F44" sqref="F44"/>
    </sheetView>
  </sheetViews>
  <sheetFormatPr defaultRowHeight="14.4" x14ac:dyDescent="0.3"/>
  <cols>
    <col min="1" max="1" width="20.88671875" style="2" bestFit="1" customWidth="1"/>
    <col min="2" max="2" width="17.6640625" style="2" bestFit="1" customWidth="1"/>
    <col min="3" max="3" width="12.88671875" style="2" bestFit="1" customWidth="1"/>
    <col min="4" max="4" width="15.77734375" style="2" bestFit="1" customWidth="1"/>
    <col min="5" max="5" width="14.88671875" style="2" bestFit="1" customWidth="1"/>
    <col min="6" max="6" width="17.33203125" style="2" customWidth="1"/>
    <col min="7" max="7" width="21.5546875" style="2" customWidth="1"/>
    <col min="8" max="8" width="26.109375" style="2" customWidth="1"/>
    <col min="9" max="9" width="17.6640625" style="2" bestFit="1" customWidth="1"/>
    <col min="10" max="10" width="11.33203125" style="2" customWidth="1"/>
    <col min="11" max="11" width="16" style="2" customWidth="1"/>
    <col min="12" max="12" width="21.6640625" style="2" bestFit="1" customWidth="1"/>
    <col min="13" max="13" width="17.6640625" style="2" bestFit="1" customWidth="1"/>
    <col min="14" max="21" width="8.88671875" style="2"/>
    <col min="22" max="22" width="17.109375" style="2" customWidth="1"/>
    <col min="23" max="23" width="21.5546875" style="2" bestFit="1" customWidth="1"/>
    <col min="24" max="24" width="16.33203125" style="2" bestFit="1" customWidth="1"/>
    <col min="25" max="25" width="10.21875" style="2" bestFit="1" customWidth="1"/>
    <col min="26" max="26" width="16.109375" style="2" bestFit="1" customWidth="1"/>
    <col min="27" max="27" width="14.6640625" style="2" bestFit="1" customWidth="1"/>
    <col min="28" max="28" width="5.21875" style="2" bestFit="1" customWidth="1"/>
    <col min="29" max="16384" width="8.88671875" style="2"/>
  </cols>
  <sheetData>
    <row r="1" spans="1:14" ht="15" thickBot="1" x14ac:dyDescent="0.35">
      <c r="A1" s="14">
        <v>40125003</v>
      </c>
      <c r="B1" s="14" t="s">
        <v>59</v>
      </c>
      <c r="C1" s="14">
        <v>3</v>
      </c>
      <c r="H1" s="36"/>
      <c r="I1" s="37"/>
      <c r="J1" s="37"/>
      <c r="K1" s="37"/>
      <c r="L1" s="37"/>
      <c r="M1" s="37"/>
      <c r="N1" s="46">
        <v>5</v>
      </c>
    </row>
    <row r="2" spans="1:14" ht="14.4" customHeight="1" x14ac:dyDescent="0.3">
      <c r="A2" s="36"/>
      <c r="B2" s="37"/>
      <c r="C2" s="37"/>
      <c r="D2" s="37"/>
      <c r="E2" s="37"/>
      <c r="F2" s="46">
        <v>1</v>
      </c>
      <c r="H2" s="129" t="s">
        <v>62</v>
      </c>
      <c r="I2" s="130"/>
      <c r="J2" s="130"/>
      <c r="K2" s="130"/>
      <c r="L2" s="130"/>
      <c r="M2" s="130"/>
      <c r="N2" s="39"/>
    </row>
    <row r="3" spans="1:14" x14ac:dyDescent="0.3">
      <c r="A3" s="38"/>
      <c r="F3" s="39"/>
      <c r="H3" s="52" t="s">
        <v>30</v>
      </c>
      <c r="I3" s="51" t="s">
        <v>31</v>
      </c>
      <c r="J3" s="51" t="s">
        <v>32</v>
      </c>
      <c r="K3" s="51" t="s">
        <v>55</v>
      </c>
      <c r="L3" s="51" t="s">
        <v>56</v>
      </c>
      <c r="M3" s="1" t="s">
        <v>57</v>
      </c>
      <c r="N3" s="39"/>
    </row>
    <row r="4" spans="1:14" x14ac:dyDescent="0.3">
      <c r="A4" s="128" t="s">
        <v>45</v>
      </c>
      <c r="B4" s="127"/>
      <c r="C4" s="127"/>
      <c r="D4" s="127"/>
      <c r="E4" s="127"/>
      <c r="F4" s="131"/>
      <c r="H4" s="45">
        <f>3*C1</f>
        <v>9</v>
      </c>
      <c r="I4" s="1">
        <f>2*C1</f>
        <v>6</v>
      </c>
      <c r="J4" s="1">
        <f>6*C1</f>
        <v>18</v>
      </c>
      <c r="K4" s="1">
        <f>4*C1</f>
        <v>12</v>
      </c>
      <c r="L4" s="1">
        <v>180</v>
      </c>
      <c r="M4" s="1" t="s">
        <v>58</v>
      </c>
      <c r="N4" s="39"/>
    </row>
    <row r="5" spans="1:14" x14ac:dyDescent="0.3">
      <c r="A5" s="44" t="str">
        <f>سوال2!D17</f>
        <v>دسترسی به حمل و نقل عمومی</v>
      </c>
      <c r="B5" s="43" t="str">
        <f>سوال2!E17</f>
        <v>تعداد بوستان در منطقه</v>
      </c>
      <c r="C5" s="43" t="str">
        <f>سوال2!F17</f>
        <v>میزان ترافیک</v>
      </c>
      <c r="D5" s="43" t="str">
        <f>سوال2!G17</f>
        <v>دسترسی به بازار خرید</v>
      </c>
      <c r="E5" s="43" t="str">
        <f>سوال2!H17</f>
        <v>متوسط قیمت خرید</v>
      </c>
      <c r="F5" s="8" t="str">
        <f>سوال2!I17</f>
        <v>منطقه</v>
      </c>
      <c r="H5" s="45">
        <f t="shared" ref="H5:K5" si="0">H4/SUM($H$4:$L$4)</f>
        <v>0.04</v>
      </c>
      <c r="I5" s="1">
        <f t="shared" si="0"/>
        <v>2.6666666666666668E-2</v>
      </c>
      <c r="J5" s="1">
        <f t="shared" si="0"/>
        <v>0.08</v>
      </c>
      <c r="K5" s="1">
        <f t="shared" si="0"/>
        <v>5.3333333333333337E-2</v>
      </c>
      <c r="L5" s="1">
        <f>L4/SUM($H$4:$L$4)</f>
        <v>0.8</v>
      </c>
      <c r="M5" s="1" t="s">
        <v>60</v>
      </c>
      <c r="N5" s="39"/>
    </row>
    <row r="6" spans="1:14" x14ac:dyDescent="0.3">
      <c r="A6" s="32">
        <f>سوال2!D18</f>
        <v>0.20588235294117646</v>
      </c>
      <c r="B6" s="33">
        <f>سوال2!E18</f>
        <v>0.20833333333333334</v>
      </c>
      <c r="C6" s="33">
        <f>سوال2!F18</f>
        <v>0.10344827586206896</v>
      </c>
      <c r="D6" s="33">
        <f>سوال2!G18</f>
        <v>0.18421052631578946</v>
      </c>
      <c r="E6" s="33">
        <f>سوال2!H18</f>
        <v>0.22144112478031636</v>
      </c>
      <c r="F6" s="8">
        <f>سوال2!I18</f>
        <v>1</v>
      </c>
      <c r="H6" s="45">
        <f t="shared" ref="H6:K6" si="1">_xlfn.RANK.EQ(H5,$H$5:$L$5)</f>
        <v>4</v>
      </c>
      <c r="I6" s="1">
        <f t="shared" si="1"/>
        <v>5</v>
      </c>
      <c r="J6" s="1">
        <f t="shared" si="1"/>
        <v>2</v>
      </c>
      <c r="K6" s="1">
        <f t="shared" si="1"/>
        <v>3</v>
      </c>
      <c r="L6" s="1">
        <f>_xlfn.RANK.EQ(L5,$H$5:$L$5)</f>
        <v>1</v>
      </c>
      <c r="M6" s="1" t="s">
        <v>61</v>
      </c>
      <c r="N6" s="39"/>
    </row>
    <row r="7" spans="1:14" x14ac:dyDescent="0.3">
      <c r="A7" s="32">
        <f>سوال2!D19</f>
        <v>0.26470588235294118</v>
      </c>
      <c r="B7" s="33">
        <f>سوال2!E19</f>
        <v>0.125</v>
      </c>
      <c r="C7" s="33">
        <f>سوال2!F19</f>
        <v>0.13793103448275862</v>
      </c>
      <c r="D7" s="33">
        <f>سوال2!G19</f>
        <v>7.8947368421052627E-2</v>
      </c>
      <c r="E7" s="33">
        <f>سوال2!H19</f>
        <v>0.11072056239015818</v>
      </c>
      <c r="F7" s="8">
        <f>سوال2!I19</f>
        <v>2</v>
      </c>
      <c r="H7" s="38"/>
      <c r="N7" s="39"/>
    </row>
    <row r="8" spans="1:14" x14ac:dyDescent="0.3">
      <c r="A8" s="32">
        <f>سوال2!D20</f>
        <v>0.11764705882352941</v>
      </c>
      <c r="B8" s="33">
        <f>سوال2!E20</f>
        <v>0.16666666666666666</v>
      </c>
      <c r="C8" s="33">
        <f>سوال2!F20</f>
        <v>0.17241379310344829</v>
      </c>
      <c r="D8" s="33">
        <f>سوال2!G20</f>
        <v>0.15789473684210525</v>
      </c>
      <c r="E8" s="33">
        <f>سوال2!H20</f>
        <v>9.8418277680140595E-2</v>
      </c>
      <c r="F8" s="8">
        <f>سوال2!I20</f>
        <v>3</v>
      </c>
      <c r="H8" s="129" t="s">
        <v>63</v>
      </c>
      <c r="I8" s="130"/>
      <c r="J8" s="130"/>
      <c r="K8" s="130"/>
      <c r="L8" s="130"/>
      <c r="M8" s="130"/>
      <c r="N8" s="39"/>
    </row>
    <row r="9" spans="1:14" ht="15.6" customHeight="1" x14ac:dyDescent="0.3">
      <c r="A9" s="32">
        <f>سوال2!D21</f>
        <v>0.14705882352941177</v>
      </c>
      <c r="B9" s="33">
        <f>سوال2!E21</f>
        <v>8.3333333333333329E-2</v>
      </c>
      <c r="C9" s="33">
        <f>سوال2!F21</f>
        <v>0.2413793103448276</v>
      </c>
      <c r="D9" s="33">
        <f>سوال2!G21</f>
        <v>0.23684210526315788</v>
      </c>
      <c r="E9" s="33">
        <f>سوال2!H21</f>
        <v>0.29525483304042183</v>
      </c>
      <c r="F9" s="8">
        <f>سوال2!I21</f>
        <v>4</v>
      </c>
      <c r="H9" s="45" t="s">
        <v>61</v>
      </c>
      <c r="I9" s="1">
        <v>1</v>
      </c>
      <c r="J9" s="1">
        <v>2</v>
      </c>
      <c r="K9" s="1">
        <v>3</v>
      </c>
      <c r="L9" s="1">
        <v>4</v>
      </c>
      <c r="M9" s="1">
        <v>5</v>
      </c>
      <c r="N9" s="39"/>
    </row>
    <row r="10" spans="1:14" ht="19.8" customHeight="1" x14ac:dyDescent="0.3">
      <c r="A10" s="32">
        <f>سوال2!D22</f>
        <v>8.8235294117647065E-2</v>
      </c>
      <c r="B10" s="33">
        <f>سوال2!E22</f>
        <v>0.25</v>
      </c>
      <c r="C10" s="33">
        <f>سوال2!F22</f>
        <v>0.10344827586206896</v>
      </c>
      <c r="D10" s="33">
        <f>سوال2!G22</f>
        <v>0.10526315789473684</v>
      </c>
      <c r="E10" s="33">
        <f>سوال2!H22</f>
        <v>0.1265377855887522</v>
      </c>
      <c r="F10" s="8">
        <f>سوال2!I22</f>
        <v>5</v>
      </c>
      <c r="H10" s="52" t="s">
        <v>57</v>
      </c>
      <c r="I10" s="51" t="str">
        <f>L3</f>
        <v>متوسط قیمت</v>
      </c>
      <c r="J10" s="51" t="str">
        <f>J3</f>
        <v>میزان ترافیک</v>
      </c>
      <c r="K10" s="51" t="str">
        <f>K3</f>
        <v>دسترسی به بازار</v>
      </c>
      <c r="L10" s="51" t="str">
        <f>H3</f>
        <v>دسترسی به حمل و نقل عمومی</v>
      </c>
      <c r="M10" s="51" t="str">
        <f>I3</f>
        <v>تعداد بوستان در منطقه</v>
      </c>
      <c r="N10" s="39"/>
    </row>
    <row r="11" spans="1:14" x14ac:dyDescent="0.3">
      <c r="A11" s="32">
        <f>سوال2!D23</f>
        <v>0.17647058823529413</v>
      </c>
      <c r="B11" s="33">
        <f>سوال2!E23</f>
        <v>0.16666666666666666</v>
      </c>
      <c r="C11" s="33">
        <f>سوال2!F23</f>
        <v>0.2413793103448276</v>
      </c>
      <c r="D11" s="33">
        <f>سوال2!G23</f>
        <v>0.23684210526315788</v>
      </c>
      <c r="E11" s="33">
        <f>سوال2!H23</f>
        <v>0.14762741652021091</v>
      </c>
      <c r="F11" s="8">
        <f>سوال2!I23</f>
        <v>6</v>
      </c>
      <c r="H11" s="45" t="s">
        <v>60</v>
      </c>
      <c r="I11" s="1">
        <f>L5</f>
        <v>0.8</v>
      </c>
      <c r="J11" s="1">
        <f>J5</f>
        <v>0.08</v>
      </c>
      <c r="K11" s="1">
        <f>K5</f>
        <v>5.3333333333333337E-2</v>
      </c>
      <c r="L11" s="1">
        <f>H5</f>
        <v>0.04</v>
      </c>
      <c r="M11" s="1">
        <f>I5</f>
        <v>2.6666666666666668E-2</v>
      </c>
      <c r="N11" s="39"/>
    </row>
    <row r="12" spans="1:14" x14ac:dyDescent="0.3">
      <c r="A12" s="38"/>
      <c r="F12" s="39"/>
      <c r="H12" s="38"/>
      <c r="N12" s="39"/>
    </row>
    <row r="13" spans="1:14" x14ac:dyDescent="0.3">
      <c r="A13" s="38"/>
      <c r="B13" s="102" t="s">
        <v>47</v>
      </c>
      <c r="C13" s="102">
        <f>1/LN(6)</f>
        <v>0.55811062655124721</v>
      </c>
      <c r="D13" s="132" t="s">
        <v>46</v>
      </c>
      <c r="E13" s="132"/>
      <c r="F13" s="39"/>
      <c r="H13" s="128" t="s">
        <v>67</v>
      </c>
      <c r="I13" s="127"/>
      <c r="J13" s="127"/>
      <c r="K13" s="127"/>
      <c r="L13" s="127"/>
      <c r="M13" s="127"/>
      <c r="N13" s="39"/>
    </row>
    <row r="14" spans="1:14" x14ac:dyDescent="0.3">
      <c r="A14" s="38"/>
      <c r="F14" s="39"/>
      <c r="H14" s="45" t="str">
        <f t="shared" ref="H14:M14" si="2">H10</f>
        <v>شاخص</v>
      </c>
      <c r="I14" s="1" t="str">
        <f t="shared" si="2"/>
        <v>متوسط قیمت</v>
      </c>
      <c r="J14" s="1" t="str">
        <f t="shared" si="2"/>
        <v>میزان ترافیک</v>
      </c>
      <c r="K14" s="1" t="str">
        <f t="shared" si="2"/>
        <v>دسترسی به بازار</v>
      </c>
      <c r="L14" s="1" t="str">
        <f t="shared" si="2"/>
        <v>دسترسی به حمل و نقل عمومی</v>
      </c>
      <c r="M14" s="1" t="str">
        <f t="shared" si="2"/>
        <v>تعداد بوستان در منطقه</v>
      </c>
      <c r="N14" s="39"/>
    </row>
    <row r="15" spans="1:14" x14ac:dyDescent="0.3">
      <c r="A15" s="133" t="s">
        <v>48</v>
      </c>
      <c r="B15" s="134"/>
      <c r="C15" s="134"/>
      <c r="D15" s="134"/>
      <c r="E15" s="135"/>
      <c r="F15" s="39"/>
      <c r="H15" s="45" t="s">
        <v>64</v>
      </c>
      <c r="I15" s="1"/>
      <c r="J15" s="1">
        <f>I11-J11</f>
        <v>0.72000000000000008</v>
      </c>
      <c r="K15" s="1">
        <f>J11-K11</f>
        <v>2.6666666666666665E-2</v>
      </c>
      <c r="L15" s="1">
        <f>K11-L11</f>
        <v>1.3333333333333336E-2</v>
      </c>
      <c r="M15" s="1">
        <f>L11-M11</f>
        <v>1.3333333333333332E-2</v>
      </c>
      <c r="N15" s="39"/>
    </row>
    <row r="16" spans="1:14" x14ac:dyDescent="0.3">
      <c r="A16" s="44" t="s">
        <v>30</v>
      </c>
      <c r="B16" s="43" t="s">
        <v>31</v>
      </c>
      <c r="C16" s="43" t="s">
        <v>32</v>
      </c>
      <c r="D16" s="43" t="s">
        <v>33</v>
      </c>
      <c r="E16" s="43" t="s">
        <v>34</v>
      </c>
      <c r="F16" s="39"/>
      <c r="H16" s="45" t="s">
        <v>65</v>
      </c>
      <c r="I16" s="1">
        <f>I15+1</f>
        <v>1</v>
      </c>
      <c r="J16" s="1">
        <f t="shared" ref="J16:M16" si="3">J15+1</f>
        <v>1.7200000000000002</v>
      </c>
      <c r="K16" s="1">
        <f t="shared" si="3"/>
        <v>1.0266666666666666</v>
      </c>
      <c r="L16" s="1">
        <f t="shared" si="3"/>
        <v>1.0133333333333334</v>
      </c>
      <c r="M16" s="1">
        <f t="shared" si="3"/>
        <v>1.0133333333333334</v>
      </c>
      <c r="N16" s="39"/>
    </row>
    <row r="17" spans="1:36" x14ac:dyDescent="0.3">
      <c r="A17" s="45">
        <f>-$C$13*SUMPRODUCT(A6:A11,LN(A6:A11))</f>
        <v>0.96620612178080378</v>
      </c>
      <c r="B17" s="1">
        <f>-$C$13*SUMPRODUCT(B6:B11,LN(B6:B11))</f>
        <v>0.96978835959250986</v>
      </c>
      <c r="C17" s="1">
        <f>-$C$13*SUMPRODUCT(C6:C11,LN(C6:C11))</f>
        <v>0.96658594828431155</v>
      </c>
      <c r="D17" s="1">
        <f>-$C$13*SUMPRODUCT(D6:D11,LN(D6:D11))</f>
        <v>0.96149667749585288</v>
      </c>
      <c r="E17" s="1">
        <f>-$C$13*SUMPRODUCT(E6:E11,LN(E6:E11))</f>
        <v>0.95430516433968948</v>
      </c>
      <c r="F17" s="103" t="s">
        <v>50</v>
      </c>
      <c r="H17" s="45" t="s">
        <v>66</v>
      </c>
      <c r="I17" s="1">
        <v>1</v>
      </c>
      <c r="J17" s="1">
        <f>I17/J16</f>
        <v>0.58139534883720922</v>
      </c>
      <c r="K17" s="1">
        <f t="shared" ref="K17:M17" si="4">J17/K16</f>
        <v>0.56629417094533374</v>
      </c>
      <c r="L17" s="1">
        <f t="shared" si="4"/>
        <v>0.55884293185394773</v>
      </c>
      <c r="M17" s="1">
        <f t="shared" si="4"/>
        <v>0.55148973538218526</v>
      </c>
      <c r="N17" s="39"/>
    </row>
    <row r="18" spans="1:36" x14ac:dyDescent="0.3">
      <c r="A18" s="45">
        <f>1-A17</f>
        <v>3.3793878219196216E-2</v>
      </c>
      <c r="B18" s="1">
        <f t="shared" ref="B18:E18" si="5">1-B17</f>
        <v>3.0211640407490137E-2</v>
      </c>
      <c r="C18" s="1">
        <f t="shared" si="5"/>
        <v>3.3414051715688453E-2</v>
      </c>
      <c r="D18" s="1">
        <f t="shared" si="5"/>
        <v>3.8503322504147119E-2</v>
      </c>
      <c r="E18" s="1">
        <f t="shared" si="5"/>
        <v>4.5694835660310518E-2</v>
      </c>
      <c r="F18" s="103" t="s">
        <v>51</v>
      </c>
      <c r="G18" s="55"/>
      <c r="H18" s="49" t="s">
        <v>68</v>
      </c>
      <c r="I18" s="50">
        <f>I17/SUM($I$17:$M$17)</f>
        <v>0.306934680796349</v>
      </c>
      <c r="J18" s="50">
        <f t="shared" ref="J18:L18" si="6">J17/SUM($I$17:$M$17)</f>
        <v>0.17845039581183078</v>
      </c>
      <c r="K18" s="50">
        <f t="shared" si="6"/>
        <v>0.1738153205959391</v>
      </c>
      <c r="L18" s="50">
        <f t="shared" si="6"/>
        <v>0.17152827690388725</v>
      </c>
      <c r="M18" s="50">
        <f>M17/SUM($I$17:$M$17)</f>
        <v>0.16927132589199401</v>
      </c>
      <c r="N18" s="39"/>
    </row>
    <row r="19" spans="1:36" ht="15" thickBot="1" x14ac:dyDescent="0.35">
      <c r="A19" s="38"/>
      <c r="F19" s="39"/>
      <c r="H19" s="40"/>
      <c r="I19" s="41"/>
      <c r="J19" s="41"/>
      <c r="K19" s="41"/>
      <c r="L19" s="41"/>
      <c r="M19" s="41"/>
      <c r="N19" s="42"/>
    </row>
    <row r="20" spans="1:36" ht="15" thickBot="1" x14ac:dyDescent="0.35">
      <c r="A20" s="128" t="s">
        <v>49</v>
      </c>
      <c r="B20" s="127"/>
      <c r="C20" s="127"/>
      <c r="D20" s="127"/>
      <c r="E20" s="127"/>
      <c r="F20" s="39"/>
    </row>
    <row r="21" spans="1:36" x14ac:dyDescent="0.3">
      <c r="A21" s="44" t="s">
        <v>30</v>
      </c>
      <c r="B21" s="43" t="s">
        <v>31</v>
      </c>
      <c r="C21" s="43" t="s">
        <v>32</v>
      </c>
      <c r="D21" s="43" t="s">
        <v>33</v>
      </c>
      <c r="E21" s="43" t="s">
        <v>34</v>
      </c>
      <c r="F21" s="39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46">
        <v>3</v>
      </c>
      <c r="V21" s="36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46">
        <v>4</v>
      </c>
    </row>
    <row r="22" spans="1:36" ht="15" thickBot="1" x14ac:dyDescent="0.35">
      <c r="A22" s="47">
        <f>A18/SUM($A$18:$E$18)</f>
        <v>0.18607147274130176</v>
      </c>
      <c r="B22" s="48">
        <f t="shared" ref="B22:E22" si="7">B18/SUM($A$18:$E$18)</f>
        <v>0.16634741914170331</v>
      </c>
      <c r="C22" s="48">
        <f t="shared" si="7"/>
        <v>0.1839801212712085</v>
      </c>
      <c r="D22" s="48">
        <f t="shared" si="7"/>
        <v>0.2120020045438385</v>
      </c>
      <c r="E22" s="48">
        <f t="shared" si="7"/>
        <v>0.25159898230194794</v>
      </c>
      <c r="F22" s="42" t="s">
        <v>53</v>
      </c>
      <c r="H22" s="128" t="s">
        <v>84</v>
      </c>
      <c r="I22" s="127"/>
      <c r="J22" s="127"/>
      <c r="K22" s="127"/>
      <c r="L22" s="127"/>
      <c r="M22" s="131"/>
      <c r="O22" s="127" t="s">
        <v>85</v>
      </c>
      <c r="P22" s="127"/>
      <c r="Q22" s="127"/>
      <c r="R22" s="127"/>
      <c r="S22" s="127"/>
      <c r="T22" s="127"/>
      <c r="U22" s="39"/>
      <c r="V22" s="38"/>
      <c r="W22" s="128" t="s">
        <v>118</v>
      </c>
      <c r="X22" s="127"/>
      <c r="Y22" s="127"/>
      <c r="Z22" s="127"/>
      <c r="AA22" s="127"/>
      <c r="AB22" s="131"/>
      <c r="AD22" s="127" t="s">
        <v>119</v>
      </c>
      <c r="AE22" s="127"/>
      <c r="AF22" s="127"/>
      <c r="AG22" s="127"/>
      <c r="AH22" s="127"/>
      <c r="AI22" s="127"/>
      <c r="AJ22" s="39"/>
    </row>
    <row r="23" spans="1:36" x14ac:dyDescent="0.3">
      <c r="G23" s="38"/>
      <c r="H23" s="44" t="str">
        <f>سوال2!D17</f>
        <v>دسترسی به حمل و نقل عمومی</v>
      </c>
      <c r="I23" s="43" t="str">
        <f>سوال2!E17</f>
        <v>تعداد بوستان در منطقه</v>
      </c>
      <c r="J23" s="43" t="str">
        <f>سوال2!F17</f>
        <v>میزان ترافیک</v>
      </c>
      <c r="K23" s="43" t="str">
        <f>سوال2!G17</f>
        <v>دسترسی به بازار خرید</v>
      </c>
      <c r="L23" s="43" t="str">
        <f>سوال2!H17</f>
        <v>متوسط قیمت خرید</v>
      </c>
      <c r="M23" s="8" t="str">
        <f>سوال2!I17</f>
        <v>منطقه</v>
      </c>
      <c r="O23" s="33">
        <f t="array" ref="O23:T28">TRANSPOSE(H24:L29)</f>
        <v>0.20588235294117646</v>
      </c>
      <c r="P23" s="33">
        <v>0.26470588235294118</v>
      </c>
      <c r="Q23" s="33">
        <v>0.11764705882352941</v>
      </c>
      <c r="R23" s="33">
        <v>0.14705882352941177</v>
      </c>
      <c r="S23" s="33">
        <v>8.8235294117647065E-2</v>
      </c>
      <c r="T23" s="33">
        <v>0.17647058823529413</v>
      </c>
      <c r="U23" s="39"/>
      <c r="V23" s="38"/>
      <c r="W23" s="44" t="str">
        <f>سوال2!D33</f>
        <v>دسترسی به حمل و نقل عمومی</v>
      </c>
      <c r="X23" s="43" t="str">
        <f>سوال2!E33</f>
        <v>تعداد بوستان در منطقه</v>
      </c>
      <c r="Y23" s="43" t="str">
        <f>سوال2!F33</f>
        <v>میزان ترافیک</v>
      </c>
      <c r="Z23" s="43" t="str">
        <f>سوال2!G33</f>
        <v>دسترسی به بازار خرید</v>
      </c>
      <c r="AA23" s="43" t="str">
        <f>سوال2!H33</f>
        <v>متوسط قیمت خرید</v>
      </c>
      <c r="AB23" s="8" t="str">
        <f>سوال2!I33</f>
        <v>منطقه</v>
      </c>
      <c r="AD23" s="33">
        <f t="array" ref="AD23:AI27">TRANSPOSE(W24:AA29)</f>
        <v>0.66666666666666663</v>
      </c>
      <c r="AE23" s="33">
        <v>1</v>
      </c>
      <c r="AF23" s="33">
        <v>0.16666666666666666</v>
      </c>
      <c r="AG23" s="33">
        <v>0.33333333333333331</v>
      </c>
      <c r="AH23" s="33">
        <v>0</v>
      </c>
      <c r="AI23" s="33">
        <v>0.5</v>
      </c>
      <c r="AJ23" s="39"/>
    </row>
    <row r="24" spans="1:36" ht="15" thickBot="1" x14ac:dyDescent="0.35">
      <c r="G24" s="38"/>
      <c r="H24" s="32">
        <f>سوال2!D18</f>
        <v>0.20588235294117646</v>
      </c>
      <c r="I24" s="33">
        <f>سوال2!E18</f>
        <v>0.20833333333333334</v>
      </c>
      <c r="J24" s="33">
        <f>سوال2!F18</f>
        <v>0.10344827586206896</v>
      </c>
      <c r="K24" s="33">
        <f>سوال2!G18</f>
        <v>0.18421052631578946</v>
      </c>
      <c r="L24" s="33">
        <f>سوال2!H18</f>
        <v>0.22144112478031636</v>
      </c>
      <c r="M24" s="8">
        <f>سوال2!I18</f>
        <v>1</v>
      </c>
      <c r="O24" s="33">
        <v>0.20833333333333334</v>
      </c>
      <c r="P24" s="33">
        <v>0.125</v>
      </c>
      <c r="Q24" s="33">
        <v>0.16666666666666666</v>
      </c>
      <c r="R24" s="33">
        <v>8.3333333333333329E-2</v>
      </c>
      <c r="S24" s="33">
        <v>0.25</v>
      </c>
      <c r="T24" s="33">
        <v>0.16666666666666666</v>
      </c>
      <c r="U24" s="39"/>
      <c r="V24" s="38"/>
      <c r="W24" s="32">
        <f>سوال2!D34</f>
        <v>0.66666666666666663</v>
      </c>
      <c r="X24" s="33">
        <f>سوال2!E34</f>
        <v>0.75</v>
      </c>
      <c r="Y24" s="33">
        <f>سوال2!F34</f>
        <v>0</v>
      </c>
      <c r="Z24" s="33">
        <f>سوال2!G34</f>
        <v>0.66666666666666663</v>
      </c>
      <c r="AA24" s="33">
        <f>سوال2!H34</f>
        <v>0.83333333333333337</v>
      </c>
      <c r="AB24" s="8">
        <f>سوال2!I34</f>
        <v>1</v>
      </c>
      <c r="AD24" s="33">
        <v>0.75</v>
      </c>
      <c r="AE24" s="33">
        <v>0.25</v>
      </c>
      <c r="AF24" s="33">
        <v>0.5</v>
      </c>
      <c r="AG24" s="33">
        <v>0</v>
      </c>
      <c r="AH24" s="33">
        <v>1</v>
      </c>
      <c r="AI24" s="33">
        <v>0.5</v>
      </c>
      <c r="AJ24" s="39"/>
    </row>
    <row r="25" spans="1:36" x14ac:dyDescent="0.3">
      <c r="A25" s="36"/>
      <c r="B25" s="37"/>
      <c r="C25" s="37"/>
      <c r="D25" s="37"/>
      <c r="E25" s="37"/>
      <c r="F25" s="46">
        <v>2</v>
      </c>
      <c r="H25" s="32">
        <f>سوال2!D19</f>
        <v>0.26470588235294118</v>
      </c>
      <c r="I25" s="33">
        <f>سوال2!E19</f>
        <v>0.125</v>
      </c>
      <c r="J25" s="33">
        <f>سوال2!F19</f>
        <v>0.13793103448275862</v>
      </c>
      <c r="K25" s="33">
        <f>سوال2!G19</f>
        <v>7.8947368421052627E-2</v>
      </c>
      <c r="L25" s="33">
        <f>سوال2!H19</f>
        <v>0.11072056239015818</v>
      </c>
      <c r="M25" s="8">
        <f>سوال2!I19</f>
        <v>2</v>
      </c>
      <c r="O25" s="33">
        <v>0.10344827586206896</v>
      </c>
      <c r="P25" s="33">
        <v>0.13793103448275862</v>
      </c>
      <c r="Q25" s="33">
        <v>0.17241379310344829</v>
      </c>
      <c r="R25" s="33">
        <v>0.2413793103448276</v>
      </c>
      <c r="S25" s="33">
        <v>0.10344827586206896</v>
      </c>
      <c r="T25" s="33">
        <v>0.2413793103448276</v>
      </c>
      <c r="U25" s="39"/>
      <c r="V25" s="38"/>
      <c r="W25" s="32">
        <f>سوال2!D35</f>
        <v>1</v>
      </c>
      <c r="X25" s="33">
        <f>سوال2!E35</f>
        <v>0.25</v>
      </c>
      <c r="Y25" s="33">
        <f>سوال2!F35</f>
        <v>0.25</v>
      </c>
      <c r="Z25" s="33">
        <f>سوال2!G35</f>
        <v>0</v>
      </c>
      <c r="AA25" s="33">
        <f>سوال2!H35</f>
        <v>0.16666666666666666</v>
      </c>
      <c r="AB25" s="8">
        <f>سوال2!I35</f>
        <v>2</v>
      </c>
      <c r="AD25" s="33">
        <v>0</v>
      </c>
      <c r="AE25" s="33">
        <v>0.25</v>
      </c>
      <c r="AF25" s="33">
        <v>0.5</v>
      </c>
      <c r="AG25" s="33">
        <v>1</v>
      </c>
      <c r="AH25" s="33">
        <v>0</v>
      </c>
      <c r="AI25" s="33">
        <v>1</v>
      </c>
      <c r="AJ25" s="39"/>
    </row>
    <row r="26" spans="1:36" x14ac:dyDescent="0.3">
      <c r="A26" s="128" t="s">
        <v>49</v>
      </c>
      <c r="B26" s="127"/>
      <c r="C26" s="127"/>
      <c r="D26" s="127"/>
      <c r="E26" s="127"/>
      <c r="F26" s="39"/>
      <c r="H26" s="32">
        <f>سوال2!D20</f>
        <v>0.11764705882352941</v>
      </c>
      <c r="I26" s="33">
        <f>سوال2!E20</f>
        <v>0.16666666666666666</v>
      </c>
      <c r="J26" s="33">
        <f>سوال2!F20</f>
        <v>0.17241379310344829</v>
      </c>
      <c r="K26" s="33">
        <f>سوال2!G20</f>
        <v>0.15789473684210525</v>
      </c>
      <c r="L26" s="33">
        <f>سوال2!H20</f>
        <v>9.8418277680140595E-2</v>
      </c>
      <c r="M26" s="8">
        <f>سوال2!I20</f>
        <v>3</v>
      </c>
      <c r="O26" s="33">
        <v>0.18421052631578946</v>
      </c>
      <c r="P26" s="33">
        <v>7.8947368421052627E-2</v>
      </c>
      <c r="Q26" s="33">
        <v>0.15789473684210525</v>
      </c>
      <c r="R26" s="33">
        <v>0.23684210526315788</v>
      </c>
      <c r="S26" s="33">
        <v>0.10526315789473684</v>
      </c>
      <c r="T26" s="33">
        <v>0.23684210526315788</v>
      </c>
      <c r="U26" s="39"/>
      <c r="V26" s="38"/>
      <c r="W26" s="32">
        <f>سوال2!D36</f>
        <v>0.16666666666666666</v>
      </c>
      <c r="X26" s="33">
        <f>سوال2!E36</f>
        <v>0.5</v>
      </c>
      <c r="Y26" s="33">
        <f>سوال2!F36</f>
        <v>0.5</v>
      </c>
      <c r="Z26" s="33">
        <f>سوال2!G36</f>
        <v>0.5</v>
      </c>
      <c r="AA26" s="33">
        <f>سوال2!H36</f>
        <v>0</v>
      </c>
      <c r="AB26" s="8">
        <f>سوال2!I36</f>
        <v>3</v>
      </c>
      <c r="AD26" s="33">
        <v>0.66666666666666663</v>
      </c>
      <c r="AE26" s="33">
        <v>0</v>
      </c>
      <c r="AF26" s="33">
        <v>0.5</v>
      </c>
      <c r="AG26" s="33">
        <v>1</v>
      </c>
      <c r="AH26" s="33">
        <v>0.16666666666666666</v>
      </c>
      <c r="AI26" s="33">
        <v>1</v>
      </c>
      <c r="AJ26" s="39"/>
    </row>
    <row r="27" spans="1:36" x14ac:dyDescent="0.3">
      <c r="A27" s="44" t="s">
        <v>30</v>
      </c>
      <c r="B27" s="43" t="s">
        <v>31</v>
      </c>
      <c r="C27" s="43" t="s">
        <v>32</v>
      </c>
      <c r="D27" s="43" t="s">
        <v>33</v>
      </c>
      <c r="E27" s="43" t="s">
        <v>34</v>
      </c>
      <c r="F27" s="39"/>
      <c r="H27" s="32">
        <f>سوال2!D21</f>
        <v>0.14705882352941177</v>
      </c>
      <c r="I27" s="33">
        <f>سوال2!E21</f>
        <v>8.3333333333333329E-2</v>
      </c>
      <c r="J27" s="33">
        <f>سوال2!F21</f>
        <v>0.2413793103448276</v>
      </c>
      <c r="K27" s="33">
        <f>سوال2!G21</f>
        <v>0.23684210526315788</v>
      </c>
      <c r="L27" s="33">
        <f>سوال2!H21</f>
        <v>0.29525483304042183</v>
      </c>
      <c r="M27" s="8">
        <f>سوال2!I21</f>
        <v>4</v>
      </c>
      <c r="O27" s="33">
        <v>0.22144112478031636</v>
      </c>
      <c r="P27" s="33">
        <v>0.11072056239015818</v>
      </c>
      <c r="Q27" s="33">
        <v>9.8418277680140595E-2</v>
      </c>
      <c r="R27" s="33">
        <v>0.29525483304042183</v>
      </c>
      <c r="S27" s="33">
        <v>0.1265377855887522</v>
      </c>
      <c r="T27" s="33">
        <v>0.14762741652021091</v>
      </c>
      <c r="U27" s="39"/>
      <c r="V27" s="38"/>
      <c r="W27" s="32">
        <f>سوال2!D37</f>
        <v>0.33333333333333331</v>
      </c>
      <c r="X27" s="33">
        <f>سوال2!E37</f>
        <v>0</v>
      </c>
      <c r="Y27" s="33">
        <f>سوال2!F37</f>
        <v>1</v>
      </c>
      <c r="Z27" s="33">
        <f>سوال2!G37</f>
        <v>1</v>
      </c>
      <c r="AA27" s="33">
        <f>سوال2!H37</f>
        <v>1</v>
      </c>
      <c r="AB27" s="8">
        <f>سوال2!I37</f>
        <v>4</v>
      </c>
      <c r="AD27" s="33">
        <v>0.83333333333333337</v>
      </c>
      <c r="AE27" s="33">
        <v>0.16666666666666666</v>
      </c>
      <c r="AF27" s="33">
        <v>0</v>
      </c>
      <c r="AG27" s="33">
        <v>1</v>
      </c>
      <c r="AH27" s="33">
        <v>0.33333333333333331</v>
      </c>
      <c r="AI27" s="33">
        <v>0.5</v>
      </c>
      <c r="AJ27" s="39"/>
    </row>
    <row r="28" spans="1:36" x14ac:dyDescent="0.3">
      <c r="A28" s="45">
        <v>0.15</v>
      </c>
      <c r="B28" s="1">
        <v>0.05</v>
      </c>
      <c r="C28" s="1">
        <v>0.2</v>
      </c>
      <c r="D28" s="1">
        <v>0.1</v>
      </c>
      <c r="E28" s="1">
        <v>0.5</v>
      </c>
      <c r="F28" s="103" t="s">
        <v>52</v>
      </c>
      <c r="H28" s="32">
        <f>سوال2!D22</f>
        <v>8.8235294117647065E-2</v>
      </c>
      <c r="I28" s="33">
        <f>سوال2!E22</f>
        <v>0.25</v>
      </c>
      <c r="J28" s="33">
        <f>سوال2!F22</f>
        <v>0.10344827586206896</v>
      </c>
      <c r="K28" s="33">
        <f>سوال2!G22</f>
        <v>0.10526315789473684</v>
      </c>
      <c r="L28" s="33">
        <f>سوال2!H22</f>
        <v>0.1265377855887522</v>
      </c>
      <c r="M28" s="8">
        <f>سوال2!I22</f>
        <v>5</v>
      </c>
      <c r="O28" s="63" t="e">
        <v>#N/A</v>
      </c>
      <c r="P28" s="63" t="e">
        <v>#N/A</v>
      </c>
      <c r="Q28" s="63" t="e">
        <v>#N/A</v>
      </c>
      <c r="R28" s="63" t="e">
        <v>#N/A</v>
      </c>
      <c r="S28" s="63" t="e">
        <v>#N/A</v>
      </c>
      <c r="T28" s="63" t="e">
        <v>#N/A</v>
      </c>
      <c r="U28" s="39"/>
      <c r="V28" s="38"/>
      <c r="W28" s="32">
        <f>سوال2!D38</f>
        <v>0</v>
      </c>
      <c r="X28" s="33">
        <f>سوال2!E38</f>
        <v>1</v>
      </c>
      <c r="Y28" s="33">
        <f>سوال2!F38</f>
        <v>0</v>
      </c>
      <c r="Z28" s="33">
        <f>سوال2!G38</f>
        <v>0.16666666666666666</v>
      </c>
      <c r="AA28" s="33">
        <f>سوال2!H38</f>
        <v>0.33333333333333331</v>
      </c>
      <c r="AB28" s="8">
        <f>سوال2!I38</f>
        <v>5</v>
      </c>
      <c r="AJ28" s="39"/>
    </row>
    <row r="29" spans="1:36" x14ac:dyDescent="0.3">
      <c r="A29" s="45">
        <f>A22</f>
        <v>0.18607147274130176</v>
      </c>
      <c r="B29" s="1">
        <f>B22</f>
        <v>0.16634741914170331</v>
      </c>
      <c r="C29" s="1">
        <f>C22</f>
        <v>0.1839801212712085</v>
      </c>
      <c r="D29" s="1">
        <f>D22</f>
        <v>0.2120020045438385</v>
      </c>
      <c r="E29" s="1">
        <f>E22</f>
        <v>0.25159898230194794</v>
      </c>
      <c r="F29" s="103" t="s">
        <v>53</v>
      </c>
      <c r="H29" s="32">
        <f>سوال2!D23</f>
        <v>0.17647058823529413</v>
      </c>
      <c r="I29" s="33">
        <f>سوال2!E23</f>
        <v>0.16666666666666666</v>
      </c>
      <c r="J29" s="33">
        <f>سوال2!F23</f>
        <v>0.2413793103448276</v>
      </c>
      <c r="K29" s="33">
        <f>سوال2!G23</f>
        <v>0.23684210526315788</v>
      </c>
      <c r="L29" s="33">
        <f>سوال2!H23</f>
        <v>0.14762741652021091</v>
      </c>
      <c r="M29" s="8">
        <f>سوال2!I23</f>
        <v>6</v>
      </c>
      <c r="U29" s="39"/>
      <c r="V29" s="38"/>
      <c r="W29" s="32">
        <f>سوال2!D39</f>
        <v>0.5</v>
      </c>
      <c r="X29" s="33">
        <f>سوال2!E39</f>
        <v>0.5</v>
      </c>
      <c r="Y29" s="33">
        <f>سوال2!F39</f>
        <v>1</v>
      </c>
      <c r="Z29" s="33">
        <f>سوال2!G39</f>
        <v>1</v>
      </c>
      <c r="AA29" s="33">
        <f>سوال2!H39</f>
        <v>0.5</v>
      </c>
      <c r="AB29" s="8">
        <f>سوال2!I39</f>
        <v>6</v>
      </c>
      <c r="AJ29" s="39"/>
    </row>
    <row r="30" spans="1:36" x14ac:dyDescent="0.3">
      <c r="A30" s="49">
        <f>(A28*A29)/SUMPRODUCT($A$28:$E$28,$A$29:$E$29)</f>
        <v>0.12685318556851155</v>
      </c>
      <c r="B30" s="50">
        <f>(B28*B29)/SUMPRODUCT($A$28:$E$28,$A$29:$E$29)</f>
        <v>3.7802140790926982E-2</v>
      </c>
      <c r="C30" s="50">
        <f>(C28*C29)/SUMPRODUCT($A$28:$E$28,$A$29:$E$29)</f>
        <v>0.1672365578717287</v>
      </c>
      <c r="D30" s="50">
        <f>(D28*D29)/SUMPRODUCT($A$28:$E$28,$A$29:$E$29)</f>
        <v>9.6354120371390628E-2</v>
      </c>
      <c r="E30" s="50">
        <f>(E28*E29)/SUMPRODUCT($A$28:$E$28,$A$29:$E$29)</f>
        <v>0.57175399539744221</v>
      </c>
      <c r="F30" s="103" t="s">
        <v>54</v>
      </c>
      <c r="U30" s="39"/>
      <c r="V30" s="38"/>
      <c r="AJ30" s="39"/>
    </row>
    <row r="31" spans="1:36" ht="15" thickBot="1" x14ac:dyDescent="0.35">
      <c r="A31" s="40"/>
      <c r="B31" s="41"/>
      <c r="C31" s="41"/>
      <c r="D31" s="41"/>
      <c r="E31" s="41"/>
      <c r="F31" s="42"/>
      <c r="U31" s="39"/>
      <c r="V31" s="38"/>
      <c r="AJ31" s="39"/>
    </row>
    <row r="32" spans="1:36" x14ac:dyDescent="0.3">
      <c r="A32" s="36"/>
      <c r="B32" s="37"/>
      <c r="C32" s="37"/>
      <c r="D32" s="37"/>
      <c r="E32" s="37"/>
      <c r="F32" s="46">
        <v>6</v>
      </c>
      <c r="U32" s="39"/>
      <c r="V32" s="38"/>
      <c r="AJ32" s="39"/>
    </row>
    <row r="33" spans="1:36" x14ac:dyDescent="0.3">
      <c r="A33" s="38"/>
      <c r="F33" s="39"/>
      <c r="H33" s="22" t="s">
        <v>71</v>
      </c>
      <c r="I33" s="22">
        <v>0.52858011371519764</v>
      </c>
      <c r="J33" s="57" t="s">
        <v>82</v>
      </c>
      <c r="K33" s="57">
        <f>MAX(I38:I43)</f>
        <v>0.29744271242831383</v>
      </c>
      <c r="U33" s="39"/>
      <c r="V33" s="38"/>
      <c r="W33" s="22" t="s">
        <v>71</v>
      </c>
      <c r="X33" s="22">
        <v>0.16854285714285783</v>
      </c>
      <c r="Y33" s="57" t="s">
        <v>82</v>
      </c>
      <c r="Z33" s="57">
        <f>MAX(X38:X43)</f>
        <v>0.54605238095238007</v>
      </c>
      <c r="AJ33" s="39"/>
    </row>
    <row r="34" spans="1:36" x14ac:dyDescent="0.3">
      <c r="A34" s="44" t="str">
        <f t="shared" ref="A34:E34" si="8">A5</f>
        <v>دسترسی به حمل و نقل عمومی</v>
      </c>
      <c r="B34" s="43" t="str">
        <f t="shared" si="8"/>
        <v>تعداد بوستان در منطقه</v>
      </c>
      <c r="C34" s="43" t="str">
        <f t="shared" si="8"/>
        <v>میزان ترافیک</v>
      </c>
      <c r="D34" s="43" t="str">
        <f t="shared" si="8"/>
        <v>دسترسی به بازار خرید</v>
      </c>
      <c r="E34" s="43" t="str">
        <f t="shared" si="8"/>
        <v>متوسط قیمت خرید</v>
      </c>
      <c r="F34" s="39"/>
      <c r="H34" s="22" t="s">
        <v>72</v>
      </c>
      <c r="I34" s="22">
        <v>1.4966339145314964</v>
      </c>
      <c r="J34" s="58" t="s">
        <v>83</v>
      </c>
      <c r="K34" s="58">
        <v>1E-3</v>
      </c>
      <c r="U34" s="39"/>
      <c r="V34" s="38"/>
      <c r="W34" s="22" t="s">
        <v>72</v>
      </c>
      <c r="X34" s="22">
        <v>0.4534476190476201</v>
      </c>
      <c r="Y34" s="58" t="s">
        <v>83</v>
      </c>
      <c r="Z34" s="58">
        <v>1E-3</v>
      </c>
      <c r="AJ34" s="39"/>
    </row>
    <row r="35" spans="1:36" x14ac:dyDescent="0.3">
      <c r="A35" s="101">
        <f t="shared" ref="A35:E35" si="9">A22</f>
        <v>0.18607147274130176</v>
      </c>
      <c r="B35" s="56">
        <f t="shared" si="9"/>
        <v>0.16634741914170331</v>
      </c>
      <c r="C35" s="56">
        <f t="shared" si="9"/>
        <v>0.1839801212712085</v>
      </c>
      <c r="D35" s="56">
        <f t="shared" si="9"/>
        <v>0.2120020045438385</v>
      </c>
      <c r="E35" s="56">
        <f t="shared" si="9"/>
        <v>0.25159898230194794</v>
      </c>
      <c r="F35" s="8" t="s">
        <v>114</v>
      </c>
      <c r="H35" s="22" t="s">
        <v>73</v>
      </c>
      <c r="I35" s="22">
        <v>2.7214333332369796</v>
      </c>
      <c r="U35" s="39"/>
      <c r="V35" s="38"/>
      <c r="W35" s="22" t="s">
        <v>73</v>
      </c>
      <c r="X35" s="22">
        <v>0.6875047619047614</v>
      </c>
      <c r="AJ35" s="39"/>
    </row>
    <row r="36" spans="1:36" x14ac:dyDescent="0.3">
      <c r="A36" s="101">
        <f t="shared" ref="A36:E36" si="10">A30</f>
        <v>0.12685318556851155</v>
      </c>
      <c r="B36" s="56">
        <f t="shared" si="10"/>
        <v>3.7802140790926982E-2</v>
      </c>
      <c r="C36" s="56">
        <f t="shared" si="10"/>
        <v>0.1672365578717287</v>
      </c>
      <c r="D36" s="56">
        <f t="shared" si="10"/>
        <v>9.6354120371390628E-2</v>
      </c>
      <c r="E36" s="56">
        <f t="shared" si="10"/>
        <v>0.57175399539744221</v>
      </c>
      <c r="F36" s="8" t="s">
        <v>115</v>
      </c>
      <c r="H36" s="22" t="s">
        <v>74</v>
      </c>
      <c r="I36" s="22">
        <v>1E-3</v>
      </c>
      <c r="U36" s="39"/>
      <c r="V36" s="38"/>
      <c r="W36" s="22" t="s">
        <v>74</v>
      </c>
      <c r="X36" s="22">
        <v>1.0000000000000564E-3</v>
      </c>
      <c r="AJ36" s="39"/>
    </row>
    <row r="37" spans="1:36" x14ac:dyDescent="0.3">
      <c r="A37" s="101">
        <f t="array" ref="A37:E37">TRANSPOSE(I33:I37)</f>
        <v>0.52858011371519764</v>
      </c>
      <c r="B37" s="56">
        <v>1.4966339145314964</v>
      </c>
      <c r="C37" s="56">
        <v>2.7214333332369796</v>
      </c>
      <c r="D37" s="56">
        <v>1E-3</v>
      </c>
      <c r="E37" s="56">
        <v>9.9999999999983435E-4</v>
      </c>
      <c r="F37" s="8" t="s">
        <v>116</v>
      </c>
      <c r="H37" s="22" t="s">
        <v>75</v>
      </c>
      <c r="I37" s="22">
        <v>9.9999999999983435E-4</v>
      </c>
      <c r="U37" s="39"/>
      <c r="V37" s="38"/>
      <c r="W37" s="22" t="s">
        <v>75</v>
      </c>
      <c r="X37" s="22">
        <v>1E-3</v>
      </c>
      <c r="AJ37" s="39"/>
    </row>
    <row r="38" spans="1:36" x14ac:dyDescent="0.3">
      <c r="A38" s="101">
        <f t="array" ref="A38:E38">TRANSPOSE(X33:X37)</f>
        <v>0.16854285714285783</v>
      </c>
      <c r="B38" s="56">
        <v>0.4534476190476201</v>
      </c>
      <c r="C38" s="56">
        <v>0.6875047619047614</v>
      </c>
      <c r="D38" s="56">
        <v>1.0000000000000564E-3</v>
      </c>
      <c r="E38" s="56">
        <v>1E-3</v>
      </c>
      <c r="F38" s="8" t="s">
        <v>120</v>
      </c>
      <c r="H38" s="56" t="s">
        <v>76</v>
      </c>
      <c r="I38" s="56">
        <v>0.29744271242831377</v>
      </c>
      <c r="U38" s="39"/>
      <c r="V38" s="38"/>
      <c r="W38" s="56" t="s">
        <v>76</v>
      </c>
      <c r="X38" s="56">
        <v>0.54605238095237985</v>
      </c>
      <c r="AJ38" s="39"/>
    </row>
    <row r="39" spans="1:36" x14ac:dyDescent="0.3">
      <c r="A39" s="101">
        <f>L18</f>
        <v>0.17152827690388725</v>
      </c>
      <c r="B39" s="56">
        <f>M18</f>
        <v>0.16927132589199401</v>
      </c>
      <c r="C39" s="56">
        <f>J18</f>
        <v>0.17845039581183078</v>
      </c>
      <c r="D39" s="56">
        <f>L18</f>
        <v>0.17152827690388725</v>
      </c>
      <c r="E39" s="56">
        <f>I18</f>
        <v>0.306934680796349</v>
      </c>
      <c r="F39" s="8" t="s">
        <v>117</v>
      </c>
      <c r="H39" s="56" t="s">
        <v>77</v>
      </c>
      <c r="I39" s="56">
        <v>0.29744271242831383</v>
      </c>
      <c r="U39" s="39"/>
      <c r="V39" s="38"/>
      <c r="W39" s="56" t="s">
        <v>77</v>
      </c>
      <c r="X39" s="56">
        <v>0.54605238095238007</v>
      </c>
      <c r="AJ39" s="39"/>
    </row>
    <row r="40" spans="1:36" x14ac:dyDescent="0.3">
      <c r="A40" s="38"/>
      <c r="F40" s="39"/>
      <c r="H40" s="56" t="s">
        <v>78</v>
      </c>
      <c r="I40" s="56">
        <v>0.21890616183748043</v>
      </c>
      <c r="U40" s="39"/>
      <c r="V40" s="38"/>
      <c r="W40" s="56" t="s">
        <v>78</v>
      </c>
      <c r="X40" s="56">
        <v>0.40093333333333314</v>
      </c>
      <c r="AJ40" s="39"/>
    </row>
    <row r="41" spans="1:36" ht="15" thickBot="1" x14ac:dyDescent="0.35">
      <c r="A41" s="40"/>
      <c r="B41" s="41"/>
      <c r="C41" s="41"/>
      <c r="D41" s="41"/>
      <c r="E41" s="41"/>
      <c r="F41" s="42"/>
      <c r="H41" s="56" t="s">
        <v>79</v>
      </c>
      <c r="I41" s="56">
        <v>0.14011833939390461</v>
      </c>
      <c r="U41" s="39"/>
      <c r="V41" s="38"/>
      <c r="W41" s="56" t="s">
        <v>79</v>
      </c>
      <c r="X41" s="56">
        <v>0.25431428571428633</v>
      </c>
      <c r="AJ41" s="39"/>
    </row>
    <row r="42" spans="1:36" x14ac:dyDescent="0.3">
      <c r="G42" s="38"/>
      <c r="H42" s="56" t="s">
        <v>80</v>
      </c>
      <c r="I42" s="56">
        <v>0.29744271242831377</v>
      </c>
      <c r="U42" s="39"/>
      <c r="V42" s="38"/>
      <c r="W42" s="56" t="s">
        <v>80</v>
      </c>
      <c r="X42" s="56">
        <v>0.54605238095237996</v>
      </c>
      <c r="AJ42" s="39"/>
    </row>
    <row r="43" spans="1:36" x14ac:dyDescent="0.3">
      <c r="G43" s="38"/>
      <c r="H43" s="56" t="s">
        <v>81</v>
      </c>
      <c r="I43" s="56">
        <v>0</v>
      </c>
      <c r="U43" s="39"/>
      <c r="V43" s="38"/>
      <c r="W43" s="56" t="s">
        <v>81</v>
      </c>
      <c r="X43" s="56">
        <v>0</v>
      </c>
      <c r="AJ43" s="39"/>
    </row>
    <row r="44" spans="1:36" x14ac:dyDescent="0.3">
      <c r="G44" s="38"/>
      <c r="U44" s="39"/>
      <c r="V44" s="38"/>
      <c r="AJ44" s="39"/>
    </row>
    <row r="45" spans="1:36" x14ac:dyDescent="0.3">
      <c r="F45" s="62"/>
      <c r="G45" s="136" t="s">
        <v>87</v>
      </c>
      <c r="H45" s="137"/>
      <c r="I45" s="59">
        <f>SUMPRODUCT(O23:O27,$I$33:$I$37)+I38</f>
        <v>1</v>
      </c>
      <c r="J45" s="58" t="s">
        <v>86</v>
      </c>
      <c r="K45" s="58">
        <f>MAX(I38:I43)</f>
        <v>0.29744271242831383</v>
      </c>
      <c r="U45" s="39"/>
      <c r="V45" s="136" t="s">
        <v>87</v>
      </c>
      <c r="W45" s="137"/>
      <c r="X45" s="59">
        <f>SUMPRODUCT(AD23:AD27,$X$33:$X$37)+X38</f>
        <v>1.0000000000000002</v>
      </c>
      <c r="Y45" s="58" t="s">
        <v>86</v>
      </c>
      <c r="Z45" s="58">
        <f>MAX(X38:X43)</f>
        <v>0.54605238095238007</v>
      </c>
      <c r="AJ45" s="39"/>
    </row>
    <row r="46" spans="1:36" x14ac:dyDescent="0.3">
      <c r="F46" s="62"/>
      <c r="G46" s="136" t="s">
        <v>88</v>
      </c>
      <c r="H46" s="137"/>
      <c r="I46" s="59">
        <f>SUMPRODUCT(P23:P27,$I$33:$I$37)+I39</f>
        <v>1</v>
      </c>
      <c r="U46" s="39"/>
      <c r="V46" s="136" t="s">
        <v>88</v>
      </c>
      <c r="W46" s="137"/>
      <c r="X46" s="59">
        <f>SUMPRODUCT(AE23:AE27,$X$33:$X$37)+X39</f>
        <v>1</v>
      </c>
      <c r="AJ46" s="39"/>
    </row>
    <row r="47" spans="1:36" x14ac:dyDescent="0.3">
      <c r="F47" s="62"/>
      <c r="G47" s="136" t="s">
        <v>89</v>
      </c>
      <c r="H47" s="137"/>
      <c r="I47" s="59">
        <f>SUMPRODUCT(Q23:Q27,$I$33:$I$37)+I40</f>
        <v>1</v>
      </c>
      <c r="U47" s="39"/>
      <c r="V47" s="136" t="s">
        <v>89</v>
      </c>
      <c r="W47" s="137"/>
      <c r="X47" s="59">
        <f>SUMPRODUCT(AF23:AF27,$X$33:$X$37)+X40</f>
        <v>1.0000000000000002</v>
      </c>
      <c r="AJ47" s="39"/>
    </row>
    <row r="48" spans="1:36" x14ac:dyDescent="0.3">
      <c r="F48" s="62"/>
      <c r="G48" s="136" t="s">
        <v>90</v>
      </c>
      <c r="H48" s="137"/>
      <c r="I48" s="59">
        <f>SUMPRODUCT(R23:R27,$I$33:$I$37)+I41</f>
        <v>1</v>
      </c>
      <c r="U48" s="39"/>
      <c r="V48" s="136" t="s">
        <v>90</v>
      </c>
      <c r="W48" s="137"/>
      <c r="X48" s="59">
        <f>SUMPRODUCT(AG23:AG27,$X$33:$X$37)+X41</f>
        <v>1.0000000000000004</v>
      </c>
      <c r="AJ48" s="39"/>
    </row>
    <row r="49" spans="6:36" x14ac:dyDescent="0.3">
      <c r="F49" s="62"/>
      <c r="G49" s="136" t="s">
        <v>91</v>
      </c>
      <c r="H49" s="137"/>
      <c r="I49" s="59">
        <f>SUMPRODUCT(S23:S27,$I$33:$I$37)+I42</f>
        <v>1</v>
      </c>
      <c r="U49" s="39"/>
      <c r="V49" s="136" t="s">
        <v>91</v>
      </c>
      <c r="W49" s="137"/>
      <c r="X49" s="59">
        <f>SUMPRODUCT(AH23:AH27,$X$33:$X$37)+X42</f>
        <v>1</v>
      </c>
      <c r="AJ49" s="39"/>
    </row>
    <row r="50" spans="6:36" x14ac:dyDescent="0.3">
      <c r="F50" s="62"/>
      <c r="G50" s="136" t="s">
        <v>92</v>
      </c>
      <c r="H50" s="137"/>
      <c r="I50" s="59">
        <f>SUMPRODUCT(T23:T27,$I$33:$I$37)+I43</f>
        <v>0.99999999999999989</v>
      </c>
      <c r="U50" s="39"/>
      <c r="V50" s="136" t="s">
        <v>92</v>
      </c>
      <c r="W50" s="137"/>
      <c r="X50" s="59">
        <f>SUMPRODUCT(AI23:AI27,$X$33:$X$37)+X43</f>
        <v>1.0000000000000004</v>
      </c>
      <c r="AJ50" s="39"/>
    </row>
    <row r="51" spans="6:36" x14ac:dyDescent="0.3">
      <c r="G51" s="38"/>
      <c r="H51" s="60" t="s">
        <v>93</v>
      </c>
      <c r="I51" s="60">
        <f>$K$33-I38</f>
        <v>0</v>
      </c>
      <c r="U51" s="39"/>
      <c r="V51" s="38"/>
      <c r="W51" s="60" t="s">
        <v>93</v>
      </c>
      <c r="X51" s="60">
        <f>$Z$33-X38</f>
        <v>0</v>
      </c>
      <c r="AJ51" s="39"/>
    </row>
    <row r="52" spans="6:36" x14ac:dyDescent="0.3">
      <c r="G52" s="38"/>
      <c r="H52" s="60" t="s">
        <v>94</v>
      </c>
      <c r="I52" s="60">
        <f t="shared" ref="I52:I56" si="11">$K$33-I39</f>
        <v>0</v>
      </c>
      <c r="U52" s="39"/>
      <c r="V52" s="38"/>
      <c r="W52" s="60" t="s">
        <v>94</v>
      </c>
      <c r="X52" s="60">
        <f t="shared" ref="X52:X56" si="12">$Z$33-X39</f>
        <v>0</v>
      </c>
      <c r="AJ52" s="39"/>
    </row>
    <row r="53" spans="6:36" x14ac:dyDescent="0.3">
      <c r="G53" s="38"/>
      <c r="H53" s="60" t="s">
        <v>95</v>
      </c>
      <c r="I53" s="60">
        <f t="shared" si="11"/>
        <v>7.8536550590833393E-2</v>
      </c>
      <c r="U53" s="39"/>
      <c r="V53" s="38"/>
      <c r="W53" s="60" t="s">
        <v>95</v>
      </c>
      <c r="X53" s="60">
        <f t="shared" si="12"/>
        <v>0.14511904761904693</v>
      </c>
      <c r="AJ53" s="39"/>
    </row>
    <row r="54" spans="6:36" x14ac:dyDescent="0.3">
      <c r="G54" s="38"/>
      <c r="H54" s="60" t="s">
        <v>96</v>
      </c>
      <c r="I54" s="60">
        <f t="shared" si="11"/>
        <v>0.15732437303440922</v>
      </c>
      <c r="U54" s="39"/>
      <c r="V54" s="38"/>
      <c r="W54" s="60" t="s">
        <v>96</v>
      </c>
      <c r="X54" s="60">
        <f t="shared" si="12"/>
        <v>0.29173809523809374</v>
      </c>
      <c r="AJ54" s="39"/>
    </row>
    <row r="55" spans="6:36" x14ac:dyDescent="0.3">
      <c r="G55" s="38"/>
      <c r="H55" s="60" t="s">
        <v>97</v>
      </c>
      <c r="I55" s="60">
        <f t="shared" si="11"/>
        <v>0</v>
      </c>
      <c r="U55" s="39"/>
      <c r="V55" s="38"/>
      <c r="W55" s="60" t="s">
        <v>97</v>
      </c>
      <c r="X55" s="60">
        <f t="shared" si="12"/>
        <v>0</v>
      </c>
      <c r="AJ55" s="39"/>
    </row>
    <row r="56" spans="6:36" x14ac:dyDescent="0.3">
      <c r="G56" s="38"/>
      <c r="H56" s="60" t="s">
        <v>98</v>
      </c>
      <c r="I56" s="60">
        <f t="shared" si="11"/>
        <v>0.29744271242831383</v>
      </c>
      <c r="U56" s="39"/>
      <c r="V56" s="38"/>
      <c r="W56" s="60" t="s">
        <v>98</v>
      </c>
      <c r="X56" s="60">
        <f t="shared" si="12"/>
        <v>0.54605238095238007</v>
      </c>
      <c r="AJ56" s="39"/>
    </row>
    <row r="57" spans="6:36" x14ac:dyDescent="0.3">
      <c r="G57" s="38"/>
      <c r="H57" s="61" t="s">
        <v>99</v>
      </c>
      <c r="I57" s="61">
        <f>I33-$K$34</f>
        <v>0.52758011371519764</v>
      </c>
      <c r="U57" s="39"/>
      <c r="V57" s="38"/>
      <c r="W57" s="61" t="s">
        <v>99</v>
      </c>
      <c r="X57" s="61">
        <f>X33-$Z$34</f>
        <v>0.16754285714285783</v>
      </c>
      <c r="AJ57" s="39"/>
    </row>
    <row r="58" spans="6:36" x14ac:dyDescent="0.3">
      <c r="G58" s="38"/>
      <c r="H58" s="61" t="s">
        <v>100</v>
      </c>
      <c r="I58" s="61">
        <f t="shared" ref="I58:I61" si="13">I34-$K$34</f>
        <v>1.4956339145314965</v>
      </c>
      <c r="U58" s="39"/>
      <c r="V58" s="38"/>
      <c r="W58" s="61" t="s">
        <v>100</v>
      </c>
      <c r="X58" s="61">
        <f t="shared" ref="X58:X61" si="14">X34-$Z$34</f>
        <v>0.4524476190476201</v>
      </c>
      <c r="AJ58" s="39"/>
    </row>
    <row r="59" spans="6:36" x14ac:dyDescent="0.3">
      <c r="G59" s="38"/>
      <c r="H59" s="61" t="s">
        <v>101</v>
      </c>
      <c r="I59" s="61">
        <f t="shared" si="13"/>
        <v>2.7204333332369797</v>
      </c>
      <c r="R59" s="138" t="s">
        <v>104</v>
      </c>
      <c r="S59" s="138"/>
      <c r="T59" s="138"/>
      <c r="U59" s="139"/>
      <c r="V59" s="38"/>
      <c r="W59" s="61" t="s">
        <v>101</v>
      </c>
      <c r="X59" s="61">
        <f t="shared" si="14"/>
        <v>0.6865047619047614</v>
      </c>
      <c r="AG59" s="138" t="s">
        <v>104</v>
      </c>
      <c r="AH59" s="138"/>
      <c r="AI59" s="138"/>
      <c r="AJ59" s="139"/>
    </row>
    <row r="60" spans="6:36" x14ac:dyDescent="0.3">
      <c r="G60" s="38"/>
      <c r="H60" s="61" t="s">
        <v>102</v>
      </c>
      <c r="I60" s="61">
        <f t="shared" si="13"/>
        <v>0</v>
      </c>
      <c r="R60" s="138"/>
      <c r="S60" s="138"/>
      <c r="T60" s="138"/>
      <c r="U60" s="139"/>
      <c r="V60" s="38"/>
      <c r="W60" s="61" t="s">
        <v>102</v>
      </c>
      <c r="X60" s="61">
        <f t="shared" si="14"/>
        <v>5.6378512969246231E-17</v>
      </c>
      <c r="AG60" s="138"/>
      <c r="AH60" s="138"/>
      <c r="AI60" s="138"/>
      <c r="AJ60" s="139"/>
    </row>
    <row r="61" spans="6:36" ht="15" thickBot="1" x14ac:dyDescent="0.35">
      <c r="G61" s="40"/>
      <c r="H61" s="64" t="s">
        <v>103</v>
      </c>
      <c r="I61" s="64">
        <f t="shared" si="13"/>
        <v>-1.6566609195578508E-16</v>
      </c>
      <c r="J61" s="41"/>
      <c r="K61" s="41"/>
      <c r="L61" s="41"/>
      <c r="M61" s="41"/>
      <c r="N61" s="41"/>
      <c r="O61" s="41"/>
      <c r="P61" s="41"/>
      <c r="Q61" s="41"/>
      <c r="R61" s="140"/>
      <c r="S61" s="140"/>
      <c r="T61" s="140"/>
      <c r="U61" s="141"/>
      <c r="V61" s="40"/>
      <c r="W61" s="64" t="s">
        <v>103</v>
      </c>
      <c r="X61" s="64">
        <f t="shared" si="14"/>
        <v>0</v>
      </c>
      <c r="Y61" s="41"/>
      <c r="Z61" s="41"/>
      <c r="AA61" s="41"/>
      <c r="AB61" s="41"/>
      <c r="AC61" s="41"/>
      <c r="AD61" s="41"/>
      <c r="AE61" s="41"/>
      <c r="AF61" s="41"/>
      <c r="AG61" s="140"/>
      <c r="AH61" s="140"/>
      <c r="AI61" s="140"/>
      <c r="AJ61" s="141"/>
    </row>
  </sheetData>
  <mergeCells count="26">
    <mergeCell ref="G50:H50"/>
    <mergeCell ref="R59:U61"/>
    <mergeCell ref="W22:AB22"/>
    <mergeCell ref="AD22:AI22"/>
    <mergeCell ref="V45:W45"/>
    <mergeCell ref="V46:W46"/>
    <mergeCell ref="V47:W47"/>
    <mergeCell ref="V48:W48"/>
    <mergeCell ref="V49:W49"/>
    <mergeCell ref="V50:W50"/>
    <mergeCell ref="AG59:AJ61"/>
    <mergeCell ref="G45:H45"/>
    <mergeCell ref="G46:H46"/>
    <mergeCell ref="G47:H47"/>
    <mergeCell ref="G48:H48"/>
    <mergeCell ref="G49:H49"/>
    <mergeCell ref="O22:T22"/>
    <mergeCell ref="A26:E26"/>
    <mergeCell ref="H2:M2"/>
    <mergeCell ref="H8:M8"/>
    <mergeCell ref="H13:M13"/>
    <mergeCell ref="A4:F4"/>
    <mergeCell ref="D13:E13"/>
    <mergeCell ref="A15:E15"/>
    <mergeCell ref="A20:E20"/>
    <mergeCell ref="H22:M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سوال1</vt:lpstr>
      <vt:lpstr>سوال2</vt:lpstr>
      <vt:lpstr>سوال3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Eskandari</dc:creator>
  <cp:lastModifiedBy>Reza Eskandari</cp:lastModifiedBy>
  <dcterms:created xsi:type="dcterms:W3CDTF">2025-03-05T11:40:10Z</dcterms:created>
  <dcterms:modified xsi:type="dcterms:W3CDTF">2026-09-05T20:49:35Z</dcterms:modified>
</cp:coreProperties>
</file>